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S\Data Hasil\"/>
    </mc:Choice>
  </mc:AlternateContent>
  <xr:revisionPtr revIDLastSave="0" documentId="13_ncr:1_{DBE7FA55-54A8-4A0F-A075-AEED70EEFFD2}" xr6:coauthVersionLast="47" xr6:coauthVersionMax="47" xr10:uidLastSave="{00000000-0000-0000-0000-000000000000}"/>
  <bookViews>
    <workbookView xWindow="-110" yWindow="-110" windowWidth="19420" windowHeight="11020" firstSheet="7" activeTab="11" xr2:uid="{70F71B84-99BA-4484-91C6-8C1D8368E152}"/>
  </bookViews>
  <sheets>
    <sheet name="JML PROYEK" sheetId="10" r:id="rId1"/>
    <sheet name="PROYEK PMDN perkecamatan" sheetId="1" r:id="rId2"/>
    <sheet name="PMA perkecamatan" sheetId="2" r:id="rId3"/>
    <sheet name="INVEST LOKASI" sheetId="18" r:id="rId4"/>
    <sheet name="INVEST LOKASI PMDN" sheetId="19" r:id="rId5"/>
    <sheet name="Perperusahaan PMA" sheetId="3" r:id="rId6"/>
    <sheet name="Perperusahaan PMDN" sheetId="4" r:id="rId7"/>
    <sheet name="Negara" sheetId="5" r:id="rId8"/>
    <sheet name="Sektor PMDN" sheetId="6" r:id="rId9"/>
    <sheet name="Sektor PMA" sheetId="7" r:id="rId10"/>
    <sheet name="Sektor Inves Total" sheetId="14" r:id="rId11"/>
    <sheet name="Invest persektor " sheetId="17" r:id="rId12"/>
    <sheet name="Naker PMA" sheetId="8" r:id="rId13"/>
    <sheet name="Naker PMDN" sheetId="9" r:id="rId14"/>
    <sheet name="TW2 24 VS 25" sheetId="11" r:id="rId15"/>
    <sheet name="UMK VS NON UMK" sheetId="15" r:id="rId16"/>
    <sheet name="Target VS TW 2" sheetId="12" r:id="rId17"/>
  </sheets>
  <externalReferences>
    <externalReference r:id="rId18"/>
  </externalReferences>
  <definedNames>
    <definedName name="_xlnm._FilterDatabase" localSheetId="10" hidden="1">'Sektor Inves Total'!$G$59:$H$79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4" l="1"/>
  <c r="D56" i="14"/>
  <c r="J15" i="4"/>
  <c r="C4" i="19"/>
  <c r="H21" i="18"/>
  <c r="D21" i="18"/>
  <c r="H22" i="18"/>
  <c r="D69" i="14"/>
  <c r="D57" i="14"/>
  <c r="D64" i="14"/>
  <c r="D63" i="14"/>
  <c r="D76" i="14"/>
  <c r="D75" i="14"/>
  <c r="D74" i="14"/>
  <c r="D73" i="14"/>
  <c r="D72" i="14"/>
  <c r="D71" i="14"/>
  <c r="D70" i="14"/>
  <c r="D68" i="14"/>
  <c r="D67" i="14"/>
  <c r="D66" i="14"/>
  <c r="D65" i="14"/>
  <c r="D62" i="14"/>
  <c r="D61" i="14"/>
  <c r="D60" i="14"/>
  <c r="D59" i="14"/>
  <c r="E35" i="14"/>
  <c r="D58" i="14"/>
  <c r="E34" i="14"/>
  <c r="E33" i="14"/>
  <c r="E32" i="14"/>
  <c r="E23" i="14" l="1"/>
  <c r="F4" i="4" a="1"/>
  <c r="F4" i="4" s="1"/>
  <c r="G4" i="4" s="1"/>
  <c r="F5" i="4" a="1"/>
  <c r="F5" i="4" s="1"/>
  <c r="G5" i="4" s="1"/>
  <c r="F6" i="4" a="1"/>
  <c r="F6" i="4" s="1"/>
  <c r="G6" i="4" s="1"/>
  <c r="F7" i="4" a="1"/>
  <c r="F7" i="4" s="1"/>
  <c r="G7" i="4" s="1"/>
  <c r="F8" i="4" a="1"/>
  <c r="F8" i="4" s="1"/>
  <c r="G8" i="4" s="1"/>
  <c r="F9" i="4" a="1"/>
  <c r="F9" i="4" s="1"/>
  <c r="G9" i="4" s="1"/>
  <c r="F10" i="4" a="1"/>
  <c r="F10" i="4" s="1"/>
  <c r="G10" i="4" s="1"/>
  <c r="F11" i="4" a="1"/>
  <c r="F11" i="4" s="1"/>
  <c r="G11" i="4" s="1"/>
  <c r="F12" i="4" a="1"/>
  <c r="F12" i="4" s="1"/>
  <c r="G12" i="4" s="1"/>
  <c r="F13" i="4" a="1"/>
  <c r="F13" i="4" s="1"/>
  <c r="G13" i="4" s="1"/>
  <c r="F14" i="4" a="1"/>
  <c r="F14" i="4" s="1"/>
  <c r="G14" i="4" s="1"/>
  <c r="F15" i="4" a="1"/>
  <c r="F15" i="4" s="1"/>
  <c r="G15" i="4" s="1"/>
  <c r="F16" i="4" a="1"/>
  <c r="F16" i="4" s="1"/>
  <c r="G16" i="4" s="1"/>
  <c r="F17" i="4" a="1"/>
  <c r="F17" i="4" s="1"/>
  <c r="G17" i="4" s="1"/>
  <c r="F18" i="4" a="1"/>
  <c r="F18" i="4" s="1"/>
  <c r="G18" i="4" s="1"/>
  <c r="F19" i="4" a="1"/>
  <c r="F19" i="4" s="1"/>
  <c r="G19" i="4" s="1"/>
  <c r="F20" i="4" a="1"/>
  <c r="F20" i="4" s="1"/>
  <c r="G20" i="4" s="1"/>
  <c r="F21" i="4" a="1"/>
  <c r="F21" i="4" s="1"/>
  <c r="G21" i="4" s="1"/>
  <c r="F22" i="4" a="1"/>
  <c r="F22" i="4" s="1"/>
  <c r="G22" i="4" s="1"/>
  <c r="F23" i="4" a="1"/>
  <c r="F23" i="4" s="1"/>
  <c r="G23" i="4" s="1"/>
  <c r="F24" i="4" a="1"/>
  <c r="F24" i="4" s="1"/>
  <c r="G24" i="4" s="1"/>
  <c r="F25" i="4" a="1"/>
  <c r="F25" i="4" s="1"/>
  <c r="G25" i="4" s="1"/>
  <c r="F26" i="4" a="1"/>
  <c r="F26" i="4" s="1"/>
  <c r="G26" i="4" s="1"/>
  <c r="F27" i="4" a="1"/>
  <c r="F27" i="4" s="1"/>
  <c r="G27" i="4" s="1"/>
  <c r="F28" i="4" a="1"/>
  <c r="F28" i="4" s="1"/>
  <c r="G28" i="4" s="1"/>
  <c r="F29" i="4" a="1"/>
  <c r="F29" i="4" s="1"/>
  <c r="G29" i="4" s="1"/>
  <c r="F30" i="4" a="1"/>
  <c r="F30" i="4"/>
  <c r="G30" i="4" s="1"/>
  <c r="F31" i="4" a="1"/>
  <c r="F31" i="4" s="1"/>
  <c r="G31" i="4" s="1"/>
  <c r="F32" i="4" a="1"/>
  <c r="F32" i="4" s="1"/>
  <c r="G32" i="4" s="1"/>
  <c r="F33" i="4" a="1"/>
  <c r="F33" i="4" s="1"/>
  <c r="G33" i="4" s="1"/>
  <c r="F34" i="4" a="1"/>
  <c r="F34" i="4" s="1"/>
  <c r="G34" i="4" s="1"/>
  <c r="F35" i="4" a="1"/>
  <c r="F35" i="4" s="1"/>
  <c r="G35" i="4" s="1"/>
  <c r="F36" i="4" a="1"/>
  <c r="F36" i="4" s="1"/>
  <c r="G36" i="4" s="1"/>
  <c r="F37" i="4" a="1"/>
  <c r="F37" i="4" s="1"/>
  <c r="G37" i="4" s="1"/>
  <c r="F38" i="4" a="1"/>
  <c r="F38" i="4" s="1"/>
  <c r="G38" i="4" s="1"/>
  <c r="F39" i="4" a="1"/>
  <c r="F39" i="4" s="1"/>
  <c r="G39" i="4" s="1"/>
  <c r="F40" i="4" a="1"/>
  <c r="F40" i="4" s="1"/>
  <c r="G40" i="4" s="1"/>
  <c r="F41" i="4" a="1"/>
  <c r="F41" i="4" s="1"/>
  <c r="G41" i="4" s="1"/>
  <c r="F42" i="4" a="1"/>
  <c r="F42" i="4" s="1"/>
  <c r="G42" i="4" s="1"/>
  <c r="F43" i="4" a="1"/>
  <c r="F43" i="4" s="1"/>
  <c r="G43" i="4" s="1"/>
  <c r="F44" i="4" a="1"/>
  <c r="F44" i="4" s="1"/>
  <c r="G44" i="4" s="1"/>
  <c r="F45" i="4" a="1"/>
  <c r="F45" i="4" s="1"/>
  <c r="G45" i="4" s="1"/>
  <c r="F46" i="4" a="1"/>
  <c r="F46" i="4" s="1"/>
  <c r="G46" i="4" s="1"/>
  <c r="F47" i="4" a="1"/>
  <c r="F47" i="4" s="1"/>
  <c r="G47" i="4" s="1"/>
  <c r="F48" i="4" a="1"/>
  <c r="F48" i="4" s="1"/>
  <c r="G48" i="4" s="1"/>
  <c r="F49" i="4" a="1"/>
  <c r="F49" i="4" s="1"/>
  <c r="G49" i="4" s="1"/>
  <c r="F50" i="4" a="1"/>
  <c r="F50" i="4" s="1"/>
  <c r="G50" i="4" s="1"/>
  <c r="F51" i="4" a="1"/>
  <c r="F51" i="4"/>
  <c r="G51" i="4" s="1"/>
  <c r="F52" i="4" a="1"/>
  <c r="F52" i="4" s="1"/>
  <c r="G52" i="4" s="1"/>
  <c r="F53" i="4" a="1"/>
  <c r="F53" i="4" s="1"/>
  <c r="G53" i="4" s="1"/>
  <c r="F54" i="4" a="1"/>
  <c r="F54" i="4" s="1"/>
  <c r="G54" i="4" s="1"/>
  <c r="F55" i="4" a="1"/>
  <c r="F55" i="4" s="1"/>
  <c r="G55" i="4" s="1"/>
  <c r="F56" i="4" a="1"/>
  <c r="F56" i="4" s="1"/>
  <c r="G56" i="4" s="1"/>
  <c r="F57" i="4" a="1"/>
  <c r="F57" i="4" s="1"/>
  <c r="G57" i="4" s="1"/>
  <c r="F58" i="4" a="1"/>
  <c r="F58" i="4" s="1"/>
  <c r="G58" i="4" s="1"/>
  <c r="F59" i="4" a="1"/>
  <c r="F59" i="4" s="1"/>
  <c r="G59" i="4" s="1"/>
  <c r="F60" i="4" a="1"/>
  <c r="F60" i="4" s="1"/>
  <c r="G60" i="4" s="1"/>
  <c r="F61" i="4" a="1"/>
  <c r="F61" i="4" s="1"/>
  <c r="G61" i="4" s="1"/>
  <c r="F62" i="4" a="1"/>
  <c r="F62" i="4" s="1"/>
  <c r="G62" i="4" s="1"/>
  <c r="F63" i="4" a="1"/>
  <c r="F63" i="4" s="1"/>
  <c r="G63" i="4" s="1"/>
  <c r="F64" i="4" a="1"/>
  <c r="F64" i="4" s="1"/>
  <c r="G64" i="4" s="1"/>
  <c r="F65" i="4" a="1"/>
  <c r="F65" i="4" s="1"/>
  <c r="G65" i="4" s="1"/>
  <c r="F66" i="4" a="1"/>
  <c r="F66" i="4" s="1"/>
  <c r="G66" i="4" s="1"/>
  <c r="F67" i="4" a="1"/>
  <c r="F67" i="4" s="1"/>
  <c r="G67" i="4" s="1"/>
  <c r="F68" i="4" a="1"/>
  <c r="F68" i="4" s="1"/>
  <c r="G68" i="4" s="1"/>
  <c r="F69" i="4" a="1"/>
  <c r="F69" i="4" s="1"/>
  <c r="G69" i="4" s="1"/>
  <c r="F70" i="4" a="1"/>
  <c r="F70" i="4" s="1"/>
  <c r="G70" i="4" s="1"/>
  <c r="F71" i="4" a="1"/>
  <c r="F71" i="4" s="1"/>
  <c r="G71" i="4" s="1"/>
  <c r="F72" i="4" a="1"/>
  <c r="F72" i="4" s="1"/>
  <c r="G72" i="4" s="1"/>
  <c r="F73" i="4" a="1"/>
  <c r="F73" i="4" s="1"/>
  <c r="G73" i="4" s="1"/>
  <c r="F74" i="4" a="1"/>
  <c r="F74" i="4" s="1"/>
  <c r="G74" i="4" s="1"/>
  <c r="F75" i="4" a="1"/>
  <c r="F75" i="4" s="1"/>
  <c r="G75" i="4" s="1"/>
  <c r="F76" i="4" a="1"/>
  <c r="F76" i="4" s="1"/>
  <c r="G76" i="4" s="1"/>
  <c r="F77" i="4" a="1"/>
  <c r="F77" i="4" s="1"/>
  <c r="G77" i="4" s="1"/>
  <c r="F78" i="4" a="1"/>
  <c r="F78" i="4" s="1"/>
  <c r="G78" i="4" s="1"/>
  <c r="F79" i="4" a="1"/>
  <c r="F79" i="4" s="1"/>
  <c r="G79" i="4" s="1"/>
  <c r="F80" i="4" a="1"/>
  <c r="F80" i="4" s="1"/>
  <c r="G80" i="4" s="1"/>
  <c r="F81" i="4" a="1"/>
  <c r="F81" i="4" s="1"/>
  <c r="G81" i="4" s="1"/>
  <c r="F82" i="4" a="1"/>
  <c r="F82" i="4" s="1"/>
  <c r="G82" i="4" s="1"/>
  <c r="F83" i="4" a="1"/>
  <c r="F83" i="4" s="1"/>
  <c r="G83" i="4" s="1"/>
  <c r="F84" i="4" a="1"/>
  <c r="F84" i="4" s="1"/>
  <c r="G84" i="4" s="1"/>
  <c r="F85" i="4" a="1"/>
  <c r="F85" i="4" s="1"/>
  <c r="G85" i="4" s="1"/>
  <c r="F86" i="4" a="1"/>
  <c r="F86" i="4" s="1"/>
  <c r="G86" i="4" s="1"/>
  <c r="F87" i="4" a="1"/>
  <c r="F87" i="4" s="1"/>
  <c r="G87" i="4" s="1"/>
  <c r="F88" i="4" a="1"/>
  <c r="F88" i="4" s="1"/>
  <c r="G88" i="4" s="1"/>
  <c r="F89" i="4" a="1"/>
  <c r="F89" i="4" s="1"/>
  <c r="G89" i="4" s="1"/>
  <c r="F90" i="4" a="1"/>
  <c r="F90" i="4" s="1"/>
  <c r="G90" i="4" s="1"/>
  <c r="F91" i="4" a="1"/>
  <c r="F91" i="4" s="1"/>
  <c r="G91" i="4" s="1"/>
  <c r="F92" i="4" a="1"/>
  <c r="F92" i="4" s="1"/>
  <c r="G92" i="4" s="1"/>
  <c r="F93" i="4" a="1"/>
  <c r="F93" i="4" s="1"/>
  <c r="G93" i="4" s="1"/>
  <c r="F94" i="4" a="1"/>
  <c r="F94" i="4"/>
  <c r="G94" i="4" s="1"/>
  <c r="F95" i="4" a="1"/>
  <c r="F95" i="4" s="1"/>
  <c r="G95" i="4" s="1"/>
  <c r="F96" i="4" a="1"/>
  <c r="F96" i="4" s="1"/>
  <c r="G96" i="4" s="1"/>
  <c r="F97" i="4" a="1"/>
  <c r="F97" i="4" s="1"/>
  <c r="G97" i="4" s="1"/>
  <c r="F98" i="4" a="1"/>
  <c r="F98" i="4" s="1"/>
  <c r="G98" i="4" s="1"/>
  <c r="F99" i="4" a="1"/>
  <c r="F99" i="4" s="1"/>
  <c r="G99" i="4" s="1"/>
  <c r="F100" i="4" a="1"/>
  <c r="F100" i="4" s="1"/>
  <c r="G100" i="4" s="1"/>
  <c r="F101" i="4" a="1"/>
  <c r="F101" i="4" s="1"/>
  <c r="G101" i="4" s="1"/>
  <c r="F102" i="4" a="1"/>
  <c r="F102" i="4" s="1"/>
  <c r="G102" i="4" s="1"/>
  <c r="F103" i="4" a="1"/>
  <c r="F103" i="4" s="1"/>
  <c r="G103" i="4" s="1"/>
  <c r="F104" i="4" a="1"/>
  <c r="F104" i="4" s="1"/>
  <c r="G104" i="4" s="1"/>
  <c r="F105" i="4" a="1"/>
  <c r="F105" i="4" s="1"/>
  <c r="G105" i="4" s="1"/>
  <c r="F106" i="4" a="1"/>
  <c r="F106" i="4" s="1"/>
  <c r="G106" i="4" s="1"/>
  <c r="F107" i="4" a="1"/>
  <c r="F107" i="4" s="1"/>
  <c r="G107" i="4" s="1"/>
  <c r="F108" i="4" a="1"/>
  <c r="F108" i="4" s="1"/>
  <c r="G108" i="4" s="1"/>
  <c r="F109" i="4" a="1"/>
  <c r="F109" i="4" s="1"/>
  <c r="G109" i="4" s="1"/>
  <c r="F110" i="4" a="1"/>
  <c r="F110" i="4" s="1"/>
  <c r="G110" i="4" s="1"/>
  <c r="F111" i="4" a="1"/>
  <c r="F111" i="4" s="1"/>
  <c r="G111" i="4" s="1"/>
  <c r="F112" i="4" a="1"/>
  <c r="F112" i="4" s="1"/>
  <c r="G112" i="4" s="1"/>
  <c r="F113" i="4" a="1"/>
  <c r="F113" i="4" s="1"/>
  <c r="G113" i="4" s="1"/>
  <c r="F114" i="4" a="1"/>
  <c r="F114" i="4" s="1"/>
  <c r="G114" i="4" s="1"/>
  <c r="F115" i="4" a="1"/>
  <c r="F115" i="4"/>
  <c r="G115" i="4" s="1"/>
  <c r="F116" i="4" a="1"/>
  <c r="F116" i="4" s="1"/>
  <c r="G116" i="4" s="1"/>
  <c r="F117" i="4" a="1"/>
  <c r="F117" i="4" s="1"/>
  <c r="G117" i="4" s="1"/>
  <c r="F118" i="4" a="1"/>
  <c r="F118" i="4" s="1"/>
  <c r="G118" i="4" s="1"/>
  <c r="F119" i="4" a="1"/>
  <c r="F119" i="4" s="1"/>
  <c r="G119" i="4" s="1"/>
  <c r="F120" i="4" a="1"/>
  <c r="F120" i="4" s="1"/>
  <c r="G120" i="4" s="1"/>
  <c r="F121" i="4" a="1"/>
  <c r="F121" i="4" s="1"/>
  <c r="G121" i="4" s="1"/>
  <c r="F122" i="4" a="1"/>
  <c r="F122" i="4" s="1"/>
  <c r="G122" i="4" s="1"/>
  <c r="F123" i="4" a="1"/>
  <c r="F123" i="4" s="1"/>
  <c r="G123" i="4" s="1"/>
  <c r="F124" i="4" a="1"/>
  <c r="F124" i="4" s="1"/>
  <c r="G124" i="4" s="1"/>
  <c r="F125" i="4" a="1"/>
  <c r="F125" i="4" s="1"/>
  <c r="G125" i="4" s="1"/>
  <c r="F126" i="4" a="1"/>
  <c r="F126" i="4" s="1"/>
  <c r="G126" i="4" s="1"/>
  <c r="F127" i="4" a="1"/>
  <c r="F127" i="4" s="1"/>
  <c r="G127" i="4" s="1"/>
  <c r="F128" i="4" a="1"/>
  <c r="F128" i="4" s="1"/>
  <c r="G128" i="4" s="1"/>
  <c r="F129" i="4" a="1"/>
  <c r="F129" i="4" s="1"/>
  <c r="G129" i="4" s="1"/>
  <c r="F130" i="4" a="1"/>
  <c r="F130" i="4" s="1"/>
  <c r="G130" i="4" s="1"/>
  <c r="F131" i="4" a="1"/>
  <c r="F131" i="4" s="1"/>
  <c r="G131" i="4" s="1"/>
  <c r="F132" i="4" a="1"/>
  <c r="F132" i="4" s="1"/>
  <c r="G132" i="4" s="1"/>
  <c r="F133" i="4" a="1"/>
  <c r="F133" i="4" s="1"/>
  <c r="G133" i="4" s="1"/>
  <c r="F134" i="4" a="1"/>
  <c r="F134" i="4" s="1"/>
  <c r="G134" i="4" s="1"/>
  <c r="F135" i="4" a="1"/>
  <c r="F135" i="4" s="1"/>
  <c r="G135" i="4" s="1"/>
  <c r="F136" i="4" a="1"/>
  <c r="F136" i="4" s="1"/>
  <c r="G136" i="4" s="1"/>
  <c r="F137" i="4" a="1"/>
  <c r="F137" i="4" s="1"/>
  <c r="G137" i="4" s="1"/>
  <c r="F138" i="4" a="1"/>
  <c r="F138" i="4" s="1"/>
  <c r="G138" i="4" s="1"/>
  <c r="F139" i="4" a="1"/>
  <c r="F139" i="4" s="1"/>
  <c r="G139" i="4" s="1"/>
  <c r="F140" i="4" a="1"/>
  <c r="F140" i="4" s="1"/>
  <c r="G140" i="4" s="1"/>
  <c r="F141" i="4" a="1"/>
  <c r="F141" i="4" s="1"/>
  <c r="G141" i="4" s="1"/>
  <c r="F142" i="4" a="1"/>
  <c r="F142" i="4" s="1"/>
  <c r="G142" i="4" s="1"/>
  <c r="F143" i="4" a="1"/>
  <c r="F143" i="4" s="1"/>
  <c r="G143" i="4" s="1"/>
  <c r="F144" i="4" a="1"/>
  <c r="F144" i="4" s="1"/>
  <c r="G144" i="4" s="1"/>
  <c r="F145" i="4" a="1"/>
  <c r="F145" i="4" s="1"/>
  <c r="G145" i="4" s="1"/>
  <c r="F146" i="4" a="1"/>
  <c r="F146" i="4" s="1"/>
  <c r="G146" i="4" s="1"/>
  <c r="F147" i="4" a="1"/>
  <c r="F147" i="4" s="1"/>
  <c r="G147" i="4" s="1"/>
  <c r="F148" i="4" a="1"/>
  <c r="F148" i="4" s="1"/>
  <c r="G148" i="4" s="1"/>
  <c r="F149" i="4" a="1"/>
  <c r="F149" i="4" s="1"/>
  <c r="G149" i="4" s="1"/>
  <c r="F150" i="4" a="1"/>
  <c r="F150" i="4" s="1"/>
  <c r="G150" i="4" s="1"/>
  <c r="F151" i="4" a="1"/>
  <c r="F151" i="4" s="1"/>
  <c r="G151" i="4" s="1"/>
  <c r="F152" i="4" a="1"/>
  <c r="F152" i="4" s="1"/>
  <c r="G152" i="4" s="1"/>
  <c r="F153" i="4" a="1"/>
  <c r="F153" i="4" s="1"/>
  <c r="G153" i="4" s="1"/>
  <c r="F154" i="4" a="1"/>
  <c r="F154" i="4" s="1"/>
  <c r="G154" i="4" s="1"/>
  <c r="F155" i="4" a="1"/>
  <c r="F155" i="4" s="1"/>
  <c r="G155" i="4" s="1"/>
  <c r="F156" i="4" a="1"/>
  <c r="F156" i="4" s="1"/>
  <c r="G156" i="4" s="1"/>
  <c r="F157" i="4" a="1"/>
  <c r="F157" i="4" s="1"/>
  <c r="G157" i="4" s="1"/>
  <c r="F158" i="4" a="1"/>
  <c r="F158" i="4"/>
  <c r="G158" i="4" s="1"/>
  <c r="F159" i="4" a="1"/>
  <c r="F159" i="4" s="1"/>
  <c r="G159" i="4" s="1"/>
  <c r="F160" i="4" a="1"/>
  <c r="F160" i="4" s="1"/>
  <c r="G160" i="4" s="1"/>
  <c r="F161" i="4" a="1"/>
  <c r="F161" i="4" s="1"/>
  <c r="G161" i="4" s="1"/>
  <c r="F162" i="4" a="1"/>
  <c r="F162" i="4" s="1"/>
  <c r="G162" i="4" s="1"/>
  <c r="F163" i="4" a="1"/>
  <c r="F163" i="4" s="1"/>
  <c r="G163" i="4" s="1"/>
  <c r="F164" i="4" a="1"/>
  <c r="F164" i="4" s="1"/>
  <c r="G164" i="4" s="1"/>
  <c r="F165" i="4" a="1"/>
  <c r="F165" i="4" s="1"/>
  <c r="G165" i="4" s="1"/>
  <c r="F166" i="4" a="1"/>
  <c r="F166" i="4" s="1"/>
  <c r="G166" i="4" s="1"/>
  <c r="F167" i="4" a="1"/>
  <c r="F167" i="4" s="1"/>
  <c r="G167" i="4" s="1"/>
  <c r="F168" i="4" a="1"/>
  <c r="F168" i="4" s="1"/>
  <c r="G168" i="4" s="1"/>
  <c r="F169" i="4" a="1"/>
  <c r="F169" i="4" s="1"/>
  <c r="G169" i="4" s="1"/>
  <c r="F170" i="4" a="1"/>
  <c r="F170" i="4" s="1"/>
  <c r="G170" i="4" s="1"/>
  <c r="F171" i="4" a="1"/>
  <c r="F171" i="4" s="1"/>
  <c r="G171" i="4" s="1"/>
  <c r="F172" i="4" a="1"/>
  <c r="F172" i="4" s="1"/>
  <c r="G172" i="4" s="1"/>
  <c r="F173" i="4" a="1"/>
  <c r="F173" i="4" s="1"/>
  <c r="G173" i="4" s="1"/>
  <c r="F174" i="4" a="1"/>
  <c r="F174" i="4" s="1"/>
  <c r="G174" i="4" s="1"/>
  <c r="F175" i="4" a="1"/>
  <c r="F175" i="4" s="1"/>
  <c r="G175" i="4" s="1"/>
  <c r="F176" i="4" a="1"/>
  <c r="F176" i="4" s="1"/>
  <c r="G176" i="4" s="1"/>
  <c r="F177" i="4" a="1"/>
  <c r="F177" i="4" s="1"/>
  <c r="G177" i="4" s="1"/>
  <c r="F178" i="4" a="1"/>
  <c r="F178" i="4" s="1"/>
  <c r="G178" i="4" s="1"/>
  <c r="F179" i="4" a="1"/>
  <c r="F179" i="4"/>
  <c r="G179" i="4" s="1"/>
  <c r="F180" i="4" a="1"/>
  <c r="F180" i="4" s="1"/>
  <c r="G180" i="4" s="1"/>
  <c r="F181" i="4" a="1"/>
  <c r="F181" i="4" s="1"/>
  <c r="G181" i="4" s="1"/>
  <c r="F182" i="4" a="1"/>
  <c r="F182" i="4" s="1"/>
  <c r="G182" i="4" s="1"/>
  <c r="F183" i="4" a="1"/>
  <c r="F183" i="4" s="1"/>
  <c r="G183" i="4" s="1"/>
  <c r="F184" i="4" a="1"/>
  <c r="F184" i="4" s="1"/>
  <c r="G184" i="4" s="1"/>
  <c r="F185" i="4" a="1"/>
  <c r="F185" i="4" s="1"/>
  <c r="G185" i="4" s="1"/>
  <c r="F186" i="4" a="1"/>
  <c r="F186" i="4" s="1"/>
  <c r="G186" i="4" s="1"/>
  <c r="F187" i="4" a="1"/>
  <c r="F187" i="4" s="1"/>
  <c r="G187" i="4" s="1"/>
  <c r="F188" i="4" a="1"/>
  <c r="F188" i="4" s="1"/>
  <c r="G188" i="4" s="1"/>
  <c r="F189" i="4" a="1"/>
  <c r="F189" i="4" s="1"/>
  <c r="G189" i="4" s="1"/>
  <c r="F190" i="4" a="1"/>
  <c r="F190" i="4" s="1"/>
  <c r="G190" i="4" s="1"/>
  <c r="F191" i="4" a="1"/>
  <c r="F191" i="4" s="1"/>
  <c r="G191" i="4" s="1"/>
  <c r="F192" i="4" a="1"/>
  <c r="F192" i="4" s="1"/>
  <c r="G192" i="4" s="1"/>
  <c r="F193" i="4" a="1"/>
  <c r="F193" i="4" s="1"/>
  <c r="G193" i="4" s="1"/>
  <c r="F194" i="4" a="1"/>
  <c r="F194" i="4" s="1"/>
  <c r="G194" i="4" s="1"/>
  <c r="F195" i="4" a="1"/>
  <c r="F195" i="4" s="1"/>
  <c r="G195" i="4" s="1"/>
  <c r="F196" i="4" a="1"/>
  <c r="F196" i="4" s="1"/>
  <c r="G196" i="4" s="1"/>
  <c r="F197" i="4" a="1"/>
  <c r="F197" i="4" s="1"/>
  <c r="G197" i="4" s="1"/>
  <c r="F198" i="4" a="1"/>
  <c r="F198" i="4" s="1"/>
  <c r="G198" i="4" s="1"/>
  <c r="F199" i="4" a="1"/>
  <c r="F199" i="4" s="1"/>
  <c r="G199" i="4" s="1"/>
  <c r="F200" i="4" a="1"/>
  <c r="F200" i="4" s="1"/>
  <c r="G200" i="4" s="1"/>
  <c r="F201" i="4" a="1"/>
  <c r="F201" i="4" s="1"/>
  <c r="G201" i="4" s="1"/>
  <c r="F202" i="4" a="1"/>
  <c r="F202" i="4" s="1"/>
  <c r="G202" i="4" s="1"/>
  <c r="F203" i="4" a="1"/>
  <c r="F203" i="4" s="1"/>
  <c r="G203" i="4" s="1"/>
  <c r="F204" i="4" a="1"/>
  <c r="F204" i="4" s="1"/>
  <c r="G204" i="4" s="1"/>
  <c r="F205" i="4" a="1"/>
  <c r="F205" i="4" s="1"/>
  <c r="G205" i="4" s="1"/>
  <c r="F206" i="4" a="1"/>
  <c r="F206" i="4" s="1"/>
  <c r="G206" i="4" s="1"/>
  <c r="F207" i="4" a="1"/>
  <c r="F207" i="4" s="1"/>
  <c r="G207" i="4" s="1"/>
  <c r="F208" i="4" a="1"/>
  <c r="F208" i="4" s="1"/>
  <c r="G208" i="4" s="1"/>
  <c r="F209" i="4" a="1"/>
  <c r="F209" i="4" s="1"/>
  <c r="G209" i="4" s="1"/>
  <c r="F210" i="4" a="1"/>
  <c r="F210" i="4" s="1"/>
  <c r="G210" i="4" s="1"/>
  <c r="F211" i="4" a="1"/>
  <c r="F211" i="4" s="1"/>
  <c r="G211" i="4" s="1"/>
  <c r="F212" i="4" a="1"/>
  <c r="F212" i="4" s="1"/>
  <c r="G212" i="4" s="1"/>
  <c r="F213" i="4" a="1"/>
  <c r="F213" i="4" s="1"/>
  <c r="G213" i="4" s="1"/>
  <c r="F214" i="4" a="1"/>
  <c r="F214" i="4" s="1"/>
  <c r="G214" i="4" s="1"/>
  <c r="F215" i="4" a="1"/>
  <c r="F215" i="4" s="1"/>
  <c r="G215" i="4" s="1"/>
  <c r="F216" i="4" a="1"/>
  <c r="F216" i="4" s="1"/>
  <c r="G216" i="4" s="1"/>
  <c r="F217" i="4" a="1"/>
  <c r="F217" i="4" s="1"/>
  <c r="G217" i="4" s="1"/>
  <c r="F218" i="4" a="1"/>
  <c r="F218" i="4" s="1"/>
  <c r="G218" i="4" s="1"/>
  <c r="F219" i="4" a="1"/>
  <c r="F219" i="4" s="1"/>
  <c r="G219" i="4" s="1"/>
  <c r="F220" i="4" a="1"/>
  <c r="F220" i="4" s="1"/>
  <c r="G220" i="4" s="1"/>
  <c r="F221" i="4" a="1"/>
  <c r="F221" i="4" s="1"/>
  <c r="G221" i="4" s="1"/>
  <c r="F222" i="4" a="1"/>
  <c r="F222" i="4"/>
  <c r="G222" i="4" s="1"/>
  <c r="F223" i="4" a="1"/>
  <c r="F223" i="4" s="1"/>
  <c r="G223" i="4" s="1"/>
  <c r="F224" i="4" a="1"/>
  <c r="F224" i="4" s="1"/>
  <c r="G224" i="4" s="1"/>
  <c r="F225" i="4" a="1"/>
  <c r="F225" i="4" s="1"/>
  <c r="G225" i="4" s="1"/>
  <c r="F226" i="4" a="1"/>
  <c r="F226" i="4" s="1"/>
  <c r="G226" i="4" s="1"/>
  <c r="F227" i="4" a="1"/>
  <c r="F227" i="4" s="1"/>
  <c r="G227" i="4" s="1"/>
  <c r="F228" i="4" a="1"/>
  <c r="F228" i="4" s="1"/>
  <c r="G228" i="4" s="1"/>
  <c r="F229" i="4" a="1"/>
  <c r="F229" i="4" s="1"/>
  <c r="G229" i="4" s="1"/>
  <c r="F230" i="4" a="1"/>
  <c r="F230" i="4" s="1"/>
  <c r="G230" i="4" s="1"/>
  <c r="F231" i="4" a="1"/>
  <c r="F231" i="4" s="1"/>
  <c r="G231" i="4" s="1"/>
  <c r="F232" i="4" a="1"/>
  <c r="F232" i="4" s="1"/>
  <c r="G232" i="4" s="1"/>
  <c r="F233" i="4" a="1"/>
  <c r="F233" i="4" s="1"/>
  <c r="G233" i="4" s="1"/>
  <c r="F234" i="4" a="1"/>
  <c r="F234" i="4" s="1"/>
  <c r="G234" i="4" s="1"/>
  <c r="F235" i="4" a="1"/>
  <c r="F235" i="4" s="1"/>
  <c r="G235" i="4" s="1"/>
  <c r="F236" i="4" a="1"/>
  <c r="F236" i="4" s="1"/>
  <c r="G236" i="4" s="1"/>
  <c r="F237" i="4" a="1"/>
  <c r="F237" i="4" s="1"/>
  <c r="G237" i="4" s="1"/>
  <c r="F238" i="4" a="1"/>
  <c r="F238" i="4" s="1"/>
  <c r="G238" i="4" s="1"/>
  <c r="F239" i="4" a="1"/>
  <c r="F239" i="4" s="1"/>
  <c r="G239" i="4" s="1"/>
  <c r="F240" i="4" a="1"/>
  <c r="F240" i="4" s="1"/>
  <c r="G240" i="4" s="1"/>
  <c r="F241" i="4" a="1"/>
  <c r="F241" i="4" s="1"/>
  <c r="G241" i="4" s="1"/>
  <c r="F242" i="4" a="1"/>
  <c r="F242" i="4" s="1"/>
  <c r="G242" i="4" s="1"/>
  <c r="F243" i="4" a="1"/>
  <c r="F243" i="4"/>
  <c r="G243" i="4" s="1"/>
  <c r="F244" i="4" a="1"/>
  <c r="F244" i="4" s="1"/>
  <c r="G244" i="4" s="1"/>
  <c r="F245" i="4" a="1"/>
  <c r="F245" i="4" s="1"/>
  <c r="G245" i="4" s="1"/>
  <c r="F246" i="4" a="1"/>
  <c r="F246" i="4" s="1"/>
  <c r="G246" i="4" s="1"/>
  <c r="F247" i="4" a="1"/>
  <c r="F247" i="4" s="1"/>
  <c r="G247" i="4" s="1"/>
  <c r="F248" i="4" a="1"/>
  <c r="F248" i="4" s="1"/>
  <c r="G248" i="4" s="1"/>
  <c r="F249" i="4" a="1"/>
  <c r="F249" i="4" s="1"/>
  <c r="G249" i="4" s="1"/>
  <c r="F250" i="4" a="1"/>
  <c r="F250" i="4" s="1"/>
  <c r="G250" i="4" s="1"/>
  <c r="F251" i="4" a="1"/>
  <c r="F251" i="4" s="1"/>
  <c r="G251" i="4" s="1"/>
  <c r="F252" i="4" a="1"/>
  <c r="F252" i="4" s="1"/>
  <c r="G252" i="4" s="1"/>
  <c r="F253" i="4" a="1"/>
  <c r="F253" i="4" s="1"/>
  <c r="G253" i="4" s="1"/>
  <c r="F254" i="4" a="1"/>
  <c r="F254" i="4" s="1"/>
  <c r="G254" i="4" s="1"/>
  <c r="F255" i="4" a="1"/>
  <c r="F255" i="4" s="1"/>
  <c r="G255" i="4" s="1"/>
  <c r="F256" i="4" a="1"/>
  <c r="F256" i="4" s="1"/>
  <c r="G256" i="4" s="1"/>
  <c r="F257" i="4" a="1"/>
  <c r="F257" i="4" s="1"/>
  <c r="G257" i="4" s="1"/>
  <c r="F258" i="4" a="1"/>
  <c r="F258" i="4" s="1"/>
  <c r="G258" i="4" s="1"/>
  <c r="F259" i="4" a="1"/>
  <c r="F259" i="4" s="1"/>
  <c r="G259" i="4" s="1"/>
  <c r="F260" i="4" a="1"/>
  <c r="F260" i="4" s="1"/>
  <c r="G260" i="4" s="1"/>
  <c r="F261" i="4" a="1"/>
  <c r="F261" i="4" s="1"/>
  <c r="G261" i="4" s="1"/>
  <c r="F262" i="4" a="1"/>
  <c r="F262" i="4" s="1"/>
  <c r="G262" i="4" s="1"/>
  <c r="F263" i="4" a="1"/>
  <c r="F263" i="4" s="1"/>
  <c r="G263" i="4" s="1"/>
  <c r="F264" i="4" a="1"/>
  <c r="F264" i="4" s="1"/>
  <c r="G264" i="4" s="1"/>
  <c r="F265" i="4" a="1"/>
  <c r="F265" i="4" s="1"/>
  <c r="G265" i="4" s="1"/>
  <c r="F266" i="4" a="1"/>
  <c r="F266" i="4" s="1"/>
  <c r="G266" i="4" s="1"/>
  <c r="F267" i="4" a="1"/>
  <c r="F267" i="4" s="1"/>
  <c r="G267" i="4" s="1"/>
  <c r="F268" i="4" a="1"/>
  <c r="F268" i="4" s="1"/>
  <c r="G268" i="4" s="1"/>
  <c r="F269" i="4" a="1"/>
  <c r="F269" i="4" s="1"/>
  <c r="G269" i="4" s="1"/>
  <c r="F270" i="4" a="1"/>
  <c r="F270" i="4" s="1"/>
  <c r="G270" i="4" s="1"/>
  <c r="F271" i="4" a="1"/>
  <c r="F271" i="4" s="1"/>
  <c r="G271" i="4" s="1"/>
  <c r="F272" i="4" a="1"/>
  <c r="F272" i="4" s="1"/>
  <c r="G272" i="4" s="1"/>
  <c r="F273" i="4" a="1"/>
  <c r="F273" i="4" s="1"/>
  <c r="G273" i="4" s="1"/>
  <c r="F274" i="4" a="1"/>
  <c r="F274" i="4" s="1"/>
  <c r="G274" i="4" s="1"/>
  <c r="F275" i="4" a="1"/>
  <c r="F275" i="4" s="1"/>
  <c r="G275" i="4" s="1"/>
  <c r="F276" i="4" a="1"/>
  <c r="F276" i="4" s="1"/>
  <c r="G276" i="4" s="1"/>
  <c r="F277" i="4" a="1"/>
  <c r="F277" i="4" s="1"/>
  <c r="G277" i="4" s="1"/>
  <c r="F278" i="4" a="1"/>
  <c r="F278" i="4" s="1"/>
  <c r="G278" i="4" s="1"/>
  <c r="F279" i="4" a="1"/>
  <c r="F279" i="4" s="1"/>
  <c r="G279" i="4" s="1"/>
  <c r="F280" i="4" a="1"/>
  <c r="F280" i="4" s="1"/>
  <c r="G280" i="4" s="1"/>
  <c r="F281" i="4" a="1"/>
  <c r="F281" i="4" s="1"/>
  <c r="G281" i="4" s="1"/>
  <c r="F282" i="4" a="1"/>
  <c r="F282" i="4" s="1"/>
  <c r="G282" i="4" s="1"/>
  <c r="F283" i="4" a="1"/>
  <c r="F283" i="4" s="1"/>
  <c r="G283" i="4" s="1"/>
  <c r="F284" i="4" a="1"/>
  <c r="F284" i="4" s="1"/>
  <c r="G284" i="4" s="1"/>
  <c r="F285" i="4" a="1"/>
  <c r="F285" i="4" s="1"/>
  <c r="G285" i="4" s="1"/>
  <c r="F286" i="4" a="1"/>
  <c r="F286" i="4"/>
  <c r="G286" i="4" s="1"/>
  <c r="F287" i="4" a="1"/>
  <c r="F287" i="4" s="1"/>
  <c r="G287" i="4" s="1"/>
  <c r="F288" i="4" a="1"/>
  <c r="F288" i="4" s="1"/>
  <c r="G288" i="4" s="1"/>
  <c r="F289" i="4" a="1"/>
  <c r="F289" i="4" s="1"/>
  <c r="G289" i="4" s="1"/>
  <c r="F290" i="4" a="1"/>
  <c r="F290" i="4" s="1"/>
  <c r="G290" i="4" s="1"/>
  <c r="F291" i="4" a="1"/>
  <c r="F291" i="4" s="1"/>
  <c r="G291" i="4" s="1"/>
  <c r="F292" i="4" a="1"/>
  <c r="F292" i="4" s="1"/>
  <c r="G292" i="4" s="1"/>
  <c r="F293" i="4" a="1"/>
  <c r="F293" i="4" s="1"/>
  <c r="G293" i="4" s="1"/>
  <c r="F294" i="4" a="1"/>
  <c r="F294" i="4" s="1"/>
  <c r="G294" i="4" s="1"/>
  <c r="F295" i="4" a="1"/>
  <c r="F295" i="4" s="1"/>
  <c r="G295" i="4" s="1"/>
  <c r="F296" i="4" a="1"/>
  <c r="F296" i="4" s="1"/>
  <c r="G296" i="4" s="1"/>
  <c r="F297" i="4" a="1"/>
  <c r="F297" i="4" s="1"/>
  <c r="G297" i="4" s="1"/>
  <c r="F298" i="4" a="1"/>
  <c r="F298" i="4" s="1"/>
  <c r="G298" i="4" s="1"/>
  <c r="F299" i="4" a="1"/>
  <c r="F299" i="4" s="1"/>
  <c r="G299" i="4" s="1"/>
  <c r="F300" i="4" a="1"/>
  <c r="F300" i="4" s="1"/>
  <c r="G300" i="4" s="1"/>
  <c r="F301" i="4" a="1"/>
  <c r="F301" i="4" s="1"/>
  <c r="G301" i="4" s="1"/>
  <c r="F302" i="4" a="1"/>
  <c r="F302" i="4" s="1"/>
  <c r="G302" i="4" s="1"/>
  <c r="F303" i="4" a="1"/>
  <c r="F303" i="4" s="1"/>
  <c r="G303" i="4" s="1"/>
  <c r="F304" i="4" a="1"/>
  <c r="F304" i="4" s="1"/>
  <c r="G304" i="4" s="1"/>
  <c r="F305" i="4" a="1"/>
  <c r="F305" i="4" s="1"/>
  <c r="G305" i="4" s="1"/>
  <c r="F306" i="4" a="1"/>
  <c r="F306" i="4" s="1"/>
  <c r="G306" i="4" s="1"/>
  <c r="F307" i="4" a="1"/>
  <c r="F307" i="4"/>
  <c r="G307" i="4" s="1"/>
  <c r="F308" i="4" a="1"/>
  <c r="F308" i="4" s="1"/>
  <c r="G308" i="4" s="1"/>
  <c r="F309" i="4" a="1"/>
  <c r="F309" i="4" s="1"/>
  <c r="G309" i="4" s="1"/>
  <c r="F310" i="4" a="1"/>
  <c r="F310" i="4" s="1"/>
  <c r="G310" i="4" s="1"/>
  <c r="F311" i="4" a="1"/>
  <c r="F311" i="4" s="1"/>
  <c r="G311" i="4" s="1"/>
  <c r="F312" i="4" a="1"/>
  <c r="F312" i="4" s="1"/>
  <c r="G312" i="4" s="1"/>
  <c r="F313" i="4" a="1"/>
  <c r="F313" i="4" s="1"/>
  <c r="G313" i="4" s="1"/>
  <c r="F314" i="4" a="1"/>
  <c r="F314" i="4" s="1"/>
  <c r="G314" i="4" s="1"/>
  <c r="F315" i="4" a="1"/>
  <c r="F315" i="4" s="1"/>
  <c r="G315" i="4" s="1"/>
  <c r="F316" i="4" a="1"/>
  <c r="F316" i="4" s="1"/>
  <c r="G316" i="4" s="1"/>
  <c r="F317" i="4" a="1"/>
  <c r="F317" i="4" s="1"/>
  <c r="G317" i="4" s="1"/>
  <c r="F318" i="4" a="1"/>
  <c r="F318" i="4" s="1"/>
  <c r="G318" i="4" s="1"/>
  <c r="F319" i="4" a="1"/>
  <c r="F319" i="4" s="1"/>
  <c r="G319" i="4" s="1"/>
  <c r="F320" i="4" a="1"/>
  <c r="F320" i="4" s="1"/>
  <c r="G320" i="4" s="1"/>
  <c r="F321" i="4" a="1"/>
  <c r="F321" i="4" s="1"/>
  <c r="G321" i="4" s="1"/>
  <c r="F322" i="4" a="1"/>
  <c r="F322" i="4" s="1"/>
  <c r="G322" i="4" s="1"/>
  <c r="F323" i="4" a="1"/>
  <c r="F323" i="4" s="1"/>
  <c r="G323" i="4" s="1"/>
  <c r="F324" i="4" a="1"/>
  <c r="F324" i="4" s="1"/>
  <c r="G324" i="4" s="1"/>
  <c r="F325" i="4" a="1"/>
  <c r="F325" i="4" s="1"/>
  <c r="G325" i="4" s="1"/>
  <c r="F326" i="4" a="1"/>
  <c r="F326" i="4" s="1"/>
  <c r="G326" i="4" s="1"/>
  <c r="F327" i="4" a="1"/>
  <c r="F327" i="4" s="1"/>
  <c r="G327" i="4" s="1"/>
  <c r="F328" i="4" a="1"/>
  <c r="F328" i="4" s="1"/>
  <c r="G328" i="4" s="1"/>
  <c r="F329" i="4" a="1"/>
  <c r="F329" i="4" s="1"/>
  <c r="G329" i="4" s="1"/>
  <c r="F330" i="4" a="1"/>
  <c r="F330" i="4" s="1"/>
  <c r="G330" i="4" s="1"/>
  <c r="F331" i="4" a="1"/>
  <c r="F331" i="4" s="1"/>
  <c r="G331" i="4" s="1"/>
  <c r="F332" i="4" a="1"/>
  <c r="F332" i="4" s="1"/>
  <c r="G332" i="4" s="1"/>
  <c r="F333" i="4" a="1"/>
  <c r="F333" i="4" s="1"/>
  <c r="G333" i="4" s="1"/>
  <c r="F334" i="4" a="1"/>
  <c r="F334" i="4" s="1"/>
  <c r="G334" i="4" s="1"/>
  <c r="F335" i="4" a="1"/>
  <c r="F335" i="4" s="1"/>
  <c r="G335" i="4" s="1"/>
  <c r="F336" i="4" a="1"/>
  <c r="F336" i="4" s="1"/>
  <c r="G336" i="4" s="1"/>
  <c r="F337" i="4" a="1"/>
  <c r="F337" i="4" s="1"/>
  <c r="G337" i="4" s="1"/>
  <c r="F338" i="4" a="1"/>
  <c r="F338" i="4" s="1"/>
  <c r="G338" i="4" s="1"/>
  <c r="F339" i="4" a="1"/>
  <c r="F339" i="4" s="1"/>
  <c r="G339" i="4" s="1"/>
  <c r="F340" i="4" a="1"/>
  <c r="F340" i="4" s="1"/>
  <c r="G340" i="4" s="1"/>
  <c r="F341" i="4" a="1"/>
  <c r="F341" i="4" s="1"/>
  <c r="G341" i="4" s="1"/>
  <c r="F342" i="4" a="1"/>
  <c r="F342" i="4" s="1"/>
  <c r="G342" i="4" s="1"/>
  <c r="F343" i="4" a="1"/>
  <c r="F343" i="4" s="1"/>
  <c r="G343" i="4" s="1"/>
  <c r="F344" i="4" a="1"/>
  <c r="F344" i="4" s="1"/>
  <c r="G344" i="4" s="1"/>
  <c r="F345" i="4" a="1"/>
  <c r="F345" i="4" s="1"/>
  <c r="G345" i="4" s="1"/>
  <c r="F346" i="4" a="1"/>
  <c r="F346" i="4" s="1"/>
  <c r="G346" i="4" s="1"/>
  <c r="F347" i="4" a="1"/>
  <c r="F347" i="4" s="1"/>
  <c r="G347" i="4" s="1"/>
  <c r="F348" i="4" a="1"/>
  <c r="F348" i="4"/>
  <c r="G348" i="4" s="1"/>
  <c r="F349" i="4" a="1"/>
  <c r="F349" i="4" s="1"/>
  <c r="G349" i="4" s="1"/>
  <c r="F350" i="4" a="1"/>
  <c r="F350" i="4" s="1"/>
  <c r="G350" i="4" s="1"/>
  <c r="F351" i="4" a="1"/>
  <c r="F351" i="4" s="1"/>
  <c r="G351" i="4" s="1"/>
  <c r="F352" i="4" a="1"/>
  <c r="F352" i="4" s="1"/>
  <c r="G352" i="4" s="1"/>
  <c r="F353" i="4" a="1"/>
  <c r="F353" i="4" s="1"/>
  <c r="G353" i="4" s="1"/>
  <c r="F354" i="4" a="1"/>
  <c r="F354" i="4" s="1"/>
  <c r="G354" i="4" s="1"/>
  <c r="F355" i="4" a="1"/>
  <c r="F355" i="4" s="1"/>
  <c r="G355" i="4" s="1"/>
  <c r="F356" i="4" a="1"/>
  <c r="F356" i="4"/>
  <c r="G356" i="4" s="1"/>
  <c r="F357" i="4" a="1"/>
  <c r="F357" i="4" s="1"/>
  <c r="G357" i="4" s="1"/>
  <c r="F358" i="4" a="1"/>
  <c r="F358" i="4" s="1"/>
  <c r="G358" i="4" s="1"/>
  <c r="F359" i="4" a="1"/>
  <c r="F359" i="4" s="1"/>
  <c r="G359" i="4" s="1"/>
  <c r="F360" i="4" a="1"/>
  <c r="F360" i="4" s="1"/>
  <c r="G360" i="4" s="1"/>
  <c r="F361" i="4" a="1"/>
  <c r="F361" i="4" s="1"/>
  <c r="G361" i="4" s="1"/>
  <c r="F362" i="4" a="1"/>
  <c r="F362" i="4" s="1"/>
  <c r="G362" i="4" s="1"/>
  <c r="F363" i="4" a="1"/>
  <c r="F363" i="4" s="1"/>
  <c r="G363" i="4" s="1"/>
  <c r="F364" i="4" a="1"/>
  <c r="F364" i="4"/>
  <c r="G364" i="4" s="1"/>
  <c r="F365" i="4" a="1"/>
  <c r="F365" i="4" s="1"/>
  <c r="G365" i="4" s="1"/>
  <c r="F366" i="4" a="1"/>
  <c r="F366" i="4" s="1"/>
  <c r="G366" i="4" s="1"/>
  <c r="F367" i="4" a="1"/>
  <c r="F367" i="4" s="1"/>
  <c r="G367" i="4" s="1"/>
  <c r="F368" i="4" a="1"/>
  <c r="F368" i="4"/>
  <c r="G368" i="4" s="1"/>
  <c r="F369" i="4" a="1"/>
  <c r="F369" i="4" s="1"/>
  <c r="G369" i="4" s="1"/>
  <c r="F370" i="4" a="1"/>
  <c r="F370" i="4" s="1"/>
  <c r="G370" i="4" s="1"/>
  <c r="F371" i="4" a="1"/>
  <c r="F371" i="4" s="1"/>
  <c r="G371" i="4" s="1"/>
  <c r="F372" i="4" a="1"/>
  <c r="F372" i="4"/>
  <c r="G372" i="4" s="1"/>
  <c r="F373" i="4" a="1"/>
  <c r="F373" i="4" s="1"/>
  <c r="G373" i="4" s="1"/>
  <c r="F374" i="4" a="1"/>
  <c r="F374" i="4" s="1"/>
  <c r="G374" i="4" s="1"/>
  <c r="F375" i="4" a="1"/>
  <c r="F375" i="4" s="1"/>
  <c r="G375" i="4" s="1"/>
  <c r="F376" i="4" a="1"/>
  <c r="F376" i="4" s="1"/>
  <c r="G376" i="4" s="1"/>
  <c r="F377" i="4" a="1"/>
  <c r="F377" i="4" s="1"/>
  <c r="G377" i="4" s="1"/>
  <c r="F378" i="4" a="1"/>
  <c r="F378" i="4" s="1"/>
  <c r="G378" i="4" s="1"/>
  <c r="F379" i="4" a="1"/>
  <c r="F379" i="4" s="1"/>
  <c r="G379" i="4" s="1"/>
  <c r="F380" i="4" a="1"/>
  <c r="F380" i="4"/>
  <c r="G380" i="4" s="1"/>
  <c r="F381" i="4" a="1"/>
  <c r="F381" i="4" s="1"/>
  <c r="G381" i="4" s="1"/>
  <c r="F382" i="4" a="1"/>
  <c r="F382" i="4" s="1"/>
  <c r="G382" i="4" s="1"/>
  <c r="F383" i="4" a="1"/>
  <c r="F383" i="4" s="1"/>
  <c r="G383" i="4" s="1"/>
  <c r="F384" i="4" a="1"/>
  <c r="F384" i="4" s="1"/>
  <c r="G384" i="4" s="1"/>
  <c r="F385" i="4" a="1"/>
  <c r="F385" i="4" s="1"/>
  <c r="G385" i="4" s="1"/>
  <c r="F386" i="4" a="1"/>
  <c r="F386" i="4" s="1"/>
  <c r="G386" i="4" s="1"/>
  <c r="F387" i="4" a="1"/>
  <c r="F387" i="4" s="1"/>
  <c r="G387" i="4" s="1"/>
  <c r="F388" i="4" a="1"/>
  <c r="F388" i="4"/>
  <c r="G388" i="4" s="1"/>
  <c r="F389" i="4" a="1"/>
  <c r="F389" i="4" s="1"/>
  <c r="G389" i="4" s="1"/>
  <c r="F390" i="4" a="1"/>
  <c r="F390" i="4" s="1"/>
  <c r="G390" i="4" s="1"/>
  <c r="F391" i="4" a="1"/>
  <c r="F391" i="4" s="1"/>
  <c r="G391" i="4" s="1"/>
  <c r="F392" i="4" a="1"/>
  <c r="F392" i="4" s="1"/>
  <c r="G392" i="4" s="1"/>
  <c r="F393" i="4" a="1"/>
  <c r="F393" i="4" s="1"/>
  <c r="G393" i="4" s="1"/>
  <c r="F394" i="4" a="1"/>
  <c r="F394" i="4" s="1"/>
  <c r="G394" i="4" s="1"/>
  <c r="F395" i="4" a="1"/>
  <c r="F395" i="4" s="1"/>
  <c r="G395" i="4" s="1"/>
  <c r="F396" i="4" a="1"/>
  <c r="F396" i="4"/>
  <c r="G396" i="4" s="1"/>
  <c r="F397" i="4" a="1"/>
  <c r="F397" i="4" s="1"/>
  <c r="G397" i="4" s="1"/>
  <c r="F398" i="4" a="1"/>
  <c r="F398" i="4" s="1"/>
  <c r="G398" i="4" s="1"/>
  <c r="F399" i="4" a="1"/>
  <c r="F399" i="4" s="1"/>
  <c r="G399" i="4" s="1"/>
  <c r="F400" i="4" a="1"/>
  <c r="F400" i="4"/>
  <c r="G400" i="4" s="1"/>
  <c r="F401" i="4" a="1"/>
  <c r="F401" i="4" s="1"/>
  <c r="G401" i="4" s="1"/>
  <c r="F402" i="4" a="1"/>
  <c r="F402" i="4" s="1"/>
  <c r="G402" i="4" s="1"/>
  <c r="F403" i="4" a="1"/>
  <c r="F403" i="4" s="1"/>
  <c r="G403" i="4" s="1"/>
  <c r="F404" i="4" a="1"/>
  <c r="F404" i="4"/>
  <c r="G404" i="4" s="1"/>
  <c r="F405" i="4" a="1"/>
  <c r="F405" i="4" s="1"/>
  <c r="G405" i="4" s="1"/>
  <c r="F406" i="4" a="1"/>
  <c r="F406" i="4" s="1"/>
  <c r="G406" i="4" s="1"/>
  <c r="F407" i="4" a="1"/>
  <c r="F407" i="4" s="1"/>
  <c r="G407" i="4" s="1"/>
  <c r="F408" i="4" a="1"/>
  <c r="F408" i="4" s="1"/>
  <c r="G408" i="4" s="1"/>
  <c r="F409" i="4" a="1"/>
  <c r="F409" i="4" s="1"/>
  <c r="G409" i="4" s="1"/>
  <c r="F410" i="4" a="1"/>
  <c r="F410" i="4" s="1"/>
  <c r="G410" i="4" s="1"/>
  <c r="F411" i="4" a="1"/>
  <c r="F411" i="4" s="1"/>
  <c r="G411" i="4" s="1"/>
  <c r="F412" i="4" a="1"/>
  <c r="F412" i="4"/>
  <c r="G412" i="4" s="1"/>
  <c r="F413" i="4" a="1"/>
  <c r="F413" i="4" s="1"/>
  <c r="G413" i="4" s="1"/>
  <c r="F414" i="4" a="1"/>
  <c r="F414" i="4" s="1"/>
  <c r="G414" i="4" s="1"/>
  <c r="F415" i="4" a="1"/>
  <c r="F415" i="4" s="1"/>
  <c r="G415" i="4" s="1"/>
  <c r="F416" i="4" a="1"/>
  <c r="F416" i="4" s="1"/>
  <c r="G416" i="4" s="1"/>
  <c r="F417" i="4" a="1"/>
  <c r="F417" i="4" s="1"/>
  <c r="G417" i="4" s="1"/>
  <c r="F418" i="4" a="1"/>
  <c r="F418" i="4" s="1"/>
  <c r="G418" i="4" s="1"/>
  <c r="F419" i="4" a="1"/>
  <c r="F419" i="4" s="1"/>
  <c r="G419" i="4" s="1"/>
  <c r="F420" i="4" a="1"/>
  <c r="F420" i="4"/>
  <c r="G420" i="4" s="1"/>
  <c r="F421" i="4" a="1"/>
  <c r="F421" i="4" s="1"/>
  <c r="G421" i="4" s="1"/>
  <c r="F422" i="4" a="1"/>
  <c r="F422" i="4" s="1"/>
  <c r="G422" i="4" s="1"/>
  <c r="F423" i="4" a="1"/>
  <c r="F423" i="4" s="1"/>
  <c r="G423" i="4" s="1"/>
  <c r="F424" i="4" a="1"/>
  <c r="F424" i="4" s="1"/>
  <c r="G424" i="4" s="1"/>
  <c r="F425" i="4" a="1"/>
  <c r="F425" i="4" s="1"/>
  <c r="G425" i="4" s="1"/>
  <c r="F426" i="4" a="1"/>
  <c r="F426" i="4" s="1"/>
  <c r="G426" i="4" s="1"/>
  <c r="F427" i="4" a="1"/>
  <c r="F427" i="4" s="1"/>
  <c r="G427" i="4" s="1"/>
  <c r="F428" i="4" a="1"/>
  <c r="F428" i="4"/>
  <c r="G428" i="4" s="1"/>
  <c r="F429" i="4" a="1"/>
  <c r="F429" i="4" s="1"/>
  <c r="G429" i="4" s="1"/>
  <c r="F430" i="4" a="1"/>
  <c r="F430" i="4" s="1"/>
  <c r="G430" i="4" s="1"/>
  <c r="F431" i="4" a="1"/>
  <c r="F431" i="4" s="1"/>
  <c r="G431" i="4" s="1"/>
  <c r="F432" i="4" a="1"/>
  <c r="F432" i="4"/>
  <c r="G432" i="4" s="1"/>
  <c r="F433" i="4" a="1"/>
  <c r="F433" i="4" s="1"/>
  <c r="G433" i="4" s="1"/>
  <c r="F434" i="4" a="1"/>
  <c r="F434" i="4" s="1"/>
  <c r="G434" i="4" s="1"/>
  <c r="F435" i="4" a="1"/>
  <c r="F435" i="4" s="1"/>
  <c r="G435" i="4" s="1"/>
  <c r="F436" i="4" a="1"/>
  <c r="F436" i="4"/>
  <c r="G436" i="4" s="1"/>
  <c r="F437" i="4" a="1"/>
  <c r="F437" i="4" s="1"/>
  <c r="G437" i="4" s="1"/>
  <c r="F3" i="4" a="1"/>
  <c r="F3" i="4" s="1"/>
  <c r="F438" i="4" s="1"/>
  <c r="J5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/>
  <c r="B15" i="4" a="1"/>
  <c r="B15" i="4" s="1"/>
  <c r="B16" i="4" a="1"/>
  <c r="B16" i="4" s="1"/>
  <c r="B17" i="4" a="1"/>
  <c r="B17" i="4" s="1"/>
  <c r="B18" i="4" a="1"/>
  <c r="B18" i="4" s="1"/>
  <c r="B19" i="4" a="1"/>
  <c r="B19" i="4"/>
  <c r="B20" i="4" a="1"/>
  <c r="B20" i="4" s="1"/>
  <c r="B21" i="4" a="1"/>
  <c r="B21" i="4" s="1"/>
  <c r="B22" i="4" a="1"/>
  <c r="B22" i="4" s="1"/>
  <c r="B23" i="4" a="1"/>
  <c r="B23" i="4"/>
  <c r="B24" i="4" a="1"/>
  <c r="B24" i="4" s="1"/>
  <c r="B25" i="4" a="1"/>
  <c r="B25" i="4"/>
  <c r="B26" i="4" a="1"/>
  <c r="B26" i="4" s="1"/>
  <c r="B27" i="4" a="1"/>
  <c r="B27" i="4" s="1"/>
  <c r="B28" i="4" a="1"/>
  <c r="B28" i="4" s="1"/>
  <c r="B29" i="4" a="1"/>
  <c r="B29" i="4"/>
  <c r="B30" i="4" a="1"/>
  <c r="B30" i="4"/>
  <c r="B31" i="4" a="1"/>
  <c r="B31" i="4" s="1"/>
  <c r="B32" i="4" a="1"/>
  <c r="B32" i="4" s="1"/>
  <c r="B33" i="4" a="1"/>
  <c r="B33" i="4"/>
  <c r="B34" i="4" a="1"/>
  <c r="B34" i="4"/>
  <c r="B35" i="4" a="1"/>
  <c r="B35" i="4" s="1"/>
  <c r="B36" i="4" a="1"/>
  <c r="B36" i="4" s="1"/>
  <c r="B37" i="4" a="1"/>
  <c r="B37" i="4"/>
  <c r="B38" i="4" a="1"/>
  <c r="B38" i="4"/>
  <c r="B39" i="4" a="1"/>
  <c r="B39" i="4"/>
  <c r="B40" i="4" a="1"/>
  <c r="B40" i="4" s="1"/>
  <c r="B41" i="4" a="1"/>
  <c r="B41" i="4" s="1"/>
  <c r="B42" i="4" a="1"/>
  <c r="B42" i="4"/>
  <c r="B43" i="4" a="1"/>
  <c r="B43" i="4"/>
  <c r="B44" i="4" a="1"/>
  <c r="B44" i="4" s="1"/>
  <c r="B45" i="4" a="1"/>
  <c r="B45" i="4" s="1"/>
  <c r="B46" i="4" a="1"/>
  <c r="B46" i="4"/>
  <c r="B47" i="4" a="1"/>
  <c r="B47" i="4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/>
  <c r="B54" i="4" a="1"/>
  <c r="B54" i="4" s="1"/>
  <c r="B55" i="4" a="1"/>
  <c r="B55" i="4" s="1"/>
  <c r="B56" i="4" a="1"/>
  <c r="B56" i="4" s="1"/>
  <c r="B57" i="4" a="1"/>
  <c r="B57" i="4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/>
  <c r="B70" i="4" a="1"/>
  <c r="B70" i="4" s="1"/>
  <c r="B71" i="4" a="1"/>
  <c r="B71" i="4" s="1"/>
  <c r="B72" i="4" a="1"/>
  <c r="B72" i="4" s="1"/>
  <c r="B73" i="4" a="1"/>
  <c r="B73" i="4" s="1"/>
  <c r="B74" i="4" a="1"/>
  <c r="B74" i="4"/>
  <c r="B75" i="4" a="1"/>
  <c r="B75" i="4" s="1"/>
  <c r="B76" i="4" a="1"/>
  <c r="B76" i="4" s="1"/>
  <c r="B77" i="4" a="1"/>
  <c r="B77" i="4" s="1"/>
  <c r="B78" i="4" a="1"/>
  <c r="B78" i="4" s="1"/>
  <c r="B79" i="4" a="1"/>
  <c r="B79" i="4"/>
  <c r="B80" i="4" a="1"/>
  <c r="B80" i="4" s="1"/>
  <c r="B81" i="4" a="1"/>
  <c r="B81" i="4" s="1"/>
  <c r="B82" i="4" a="1"/>
  <c r="B82" i="4" s="1"/>
  <c r="B83" i="4" a="1"/>
  <c r="B83" i="4" s="1"/>
  <c r="B84" i="4" a="1"/>
  <c r="B84" i="4" s="1"/>
  <c r="B85" i="4" a="1"/>
  <c r="B85" i="4"/>
  <c r="B86" i="4" a="1"/>
  <c r="B86" i="4" s="1"/>
  <c r="B87" i="4" a="1"/>
  <c r="B87" i="4" s="1"/>
  <c r="B88" i="4" a="1"/>
  <c r="B88" i="4" s="1"/>
  <c r="B89" i="4" a="1"/>
  <c r="B89" i="4"/>
  <c r="B90" i="4" a="1"/>
  <c r="B90" i="4" s="1"/>
  <c r="B91" i="4" a="1"/>
  <c r="B91" i="4" s="1"/>
  <c r="B92" i="4" a="1"/>
  <c r="B92" i="4" s="1"/>
  <c r="B93" i="4" a="1"/>
  <c r="B93" i="4" s="1"/>
  <c r="B94" i="4" a="1"/>
  <c r="B94" i="4" s="1"/>
  <c r="B95" i="4" a="1"/>
  <c r="B95" i="4" s="1"/>
  <c r="B96" i="4" a="1"/>
  <c r="B96" i="4" s="1"/>
  <c r="B97" i="4" a="1"/>
  <c r="B97" i="4"/>
  <c r="B98" i="4" a="1"/>
  <c r="B98" i="4" s="1"/>
  <c r="B99" i="4" a="1"/>
  <c r="B99" i="4" s="1"/>
  <c r="B100" i="4" a="1"/>
  <c r="B100" i="4" s="1"/>
  <c r="B101" i="4" a="1"/>
  <c r="B101" i="4" s="1"/>
  <c r="B102" i="4" a="1"/>
  <c r="B102" i="4"/>
  <c r="B103" i="4" a="1"/>
  <c r="B103" i="4" s="1"/>
  <c r="B104" i="4" a="1"/>
  <c r="B104" i="4" s="1"/>
  <c r="B105" i="4" a="1"/>
  <c r="B105" i="4" s="1"/>
  <c r="B106" i="4" a="1"/>
  <c r="B106" i="4" s="1"/>
  <c r="B107" i="4" a="1"/>
  <c r="B107" i="4"/>
  <c r="B108" i="4" a="1"/>
  <c r="B108" i="4" s="1"/>
  <c r="B109" i="4" a="1"/>
  <c r="B109" i="4" s="1"/>
  <c r="B110" i="4" a="1"/>
  <c r="B110" i="4" s="1"/>
  <c r="B111" i="4" a="1"/>
  <c r="B111" i="4"/>
  <c r="B112" i="4" a="1"/>
  <c r="B112" i="4" s="1"/>
  <c r="B113" i="4" a="1"/>
  <c r="B113" i="4" s="1"/>
  <c r="B114" i="4" a="1"/>
  <c r="B114" i="4" s="1"/>
  <c r="B115" i="4" a="1"/>
  <c r="B115" i="4" s="1"/>
  <c r="B116" i="4" a="1"/>
  <c r="B116" i="4" s="1"/>
  <c r="B117" i="4" a="1"/>
  <c r="B117" i="4"/>
  <c r="B118" i="4" a="1"/>
  <c r="B118" i="4" s="1"/>
  <c r="B119" i="4" a="1"/>
  <c r="B119" i="4"/>
  <c r="B120" i="4" a="1"/>
  <c r="B120" i="4" s="1"/>
  <c r="B121" i="4" a="1"/>
  <c r="B121" i="4"/>
  <c r="B122" i="4" a="1"/>
  <c r="B122" i="4" s="1"/>
  <c r="B123" i="4" a="1"/>
  <c r="B123" i="4" s="1"/>
  <c r="B124" i="4" a="1"/>
  <c r="B124" i="4" s="1"/>
  <c r="B125" i="4" a="1"/>
  <c r="B125" i="4"/>
  <c r="B126" i="4" a="1"/>
  <c r="B126" i="4" s="1"/>
  <c r="B127" i="4" a="1"/>
  <c r="B127" i="4" s="1"/>
  <c r="B128" i="4" a="1"/>
  <c r="B128" i="4" s="1"/>
  <c r="B129" i="4" a="1"/>
  <c r="B129" i="4" s="1"/>
  <c r="B130" i="4" a="1"/>
  <c r="B130" i="4"/>
  <c r="B131" i="4" a="1"/>
  <c r="B131" i="4" s="1"/>
  <c r="B132" i="4" a="1"/>
  <c r="B132" i="4" s="1"/>
  <c r="B133" i="4" a="1"/>
  <c r="B133" i="4" s="1"/>
  <c r="B134" i="4" a="1"/>
  <c r="B134" i="4" s="1"/>
  <c r="B135" i="4" a="1"/>
  <c r="B135" i="4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 s="1"/>
  <c r="B142" i="4" a="1"/>
  <c r="B142" i="4" s="1"/>
  <c r="B143" i="4" a="1"/>
  <c r="B143" i="4" s="1"/>
  <c r="B144" i="4" a="1"/>
  <c r="B144" i="4" s="1"/>
  <c r="B145" i="4" a="1"/>
  <c r="B145" i="4" s="1"/>
  <c r="B146" i="4" a="1"/>
  <c r="B146" i="4" s="1"/>
  <c r="B147" i="4" a="1"/>
  <c r="B147" i="4"/>
  <c r="B148" i="4" a="1"/>
  <c r="B148" i="4" s="1"/>
  <c r="B149" i="4" a="1"/>
  <c r="B149" i="4" s="1"/>
  <c r="B150" i="4" a="1"/>
  <c r="B150" i="4" s="1"/>
  <c r="B151" i="4" a="1"/>
  <c r="B151" i="4" s="1"/>
  <c r="B152" i="4" a="1"/>
  <c r="B152" i="4" s="1"/>
  <c r="B153" i="4" a="1"/>
  <c r="B153" i="4"/>
  <c r="B154" i="4" a="1"/>
  <c r="B154" i="4" s="1"/>
  <c r="B155" i="4" a="1"/>
  <c r="B155" i="4" s="1"/>
  <c r="B156" i="4" a="1"/>
  <c r="B156" i="4" s="1"/>
  <c r="B157" i="4" a="1"/>
  <c r="B157" i="4" s="1"/>
  <c r="B158" i="4" a="1"/>
  <c r="B158" i="4"/>
  <c r="B159" i="4" a="1"/>
  <c r="B159" i="4" s="1"/>
  <c r="B160" i="4" a="1"/>
  <c r="B160" i="4" s="1"/>
  <c r="B161" i="4" a="1"/>
  <c r="B161" i="4" s="1"/>
  <c r="B162" i="4" a="1"/>
  <c r="B162" i="4" s="1"/>
  <c r="B163" i="4" a="1"/>
  <c r="B163" i="4" s="1"/>
  <c r="B164" i="4" a="1"/>
  <c r="B164" i="4" s="1"/>
  <c r="B165" i="4" a="1"/>
  <c r="B165" i="4" s="1"/>
  <c r="B166" i="4" a="1"/>
  <c r="B166" i="4"/>
  <c r="B167" i="4" a="1"/>
  <c r="B167" i="4"/>
  <c r="B168" i="4" a="1"/>
  <c r="B168" i="4" s="1"/>
  <c r="B169" i="4" a="1"/>
  <c r="B169" i="4" s="1"/>
  <c r="B170" i="4" a="1"/>
  <c r="B170" i="4" s="1"/>
  <c r="B171" i="4" a="1"/>
  <c r="B171" i="4"/>
  <c r="B172" i="4" a="1"/>
  <c r="B172" i="4" s="1"/>
  <c r="B173" i="4" a="1"/>
  <c r="B173" i="4" s="1"/>
  <c r="B174" i="4" a="1"/>
  <c r="B174" i="4" s="1"/>
  <c r="B175" i="4" a="1"/>
  <c r="B175" i="4"/>
  <c r="B176" i="4" a="1"/>
  <c r="B176" i="4" s="1"/>
  <c r="B177" i="4" a="1"/>
  <c r="B177" i="4" s="1"/>
  <c r="B178" i="4" a="1"/>
  <c r="B178" i="4" s="1"/>
  <c r="B179" i="4" a="1"/>
  <c r="B179" i="4"/>
  <c r="B180" i="4" a="1"/>
  <c r="B180" i="4" s="1"/>
  <c r="B181" i="4" a="1"/>
  <c r="B181" i="4"/>
  <c r="B182" i="4" a="1"/>
  <c r="B182" i="4" s="1"/>
  <c r="B183" i="4" a="1"/>
  <c r="B183" i="4"/>
  <c r="B184" i="4" a="1"/>
  <c r="B184" i="4" s="1"/>
  <c r="B185" i="4" a="1"/>
  <c r="B185" i="4" s="1"/>
  <c r="B186" i="4" a="1"/>
  <c r="B186" i="4" s="1"/>
  <c r="B187" i="4" a="1"/>
  <c r="B187" i="4" s="1"/>
  <c r="B188" i="4" a="1"/>
  <c r="B188" i="4" s="1"/>
  <c r="B189" i="4" a="1"/>
  <c r="B189" i="4"/>
  <c r="B190" i="4" a="1"/>
  <c r="B190" i="4"/>
  <c r="B191" i="4" a="1"/>
  <c r="B191" i="4" s="1"/>
  <c r="B192" i="4" a="1"/>
  <c r="B192" i="4" s="1"/>
  <c r="B193" i="4" a="1"/>
  <c r="B193" i="4" s="1"/>
  <c r="B194" i="4" a="1"/>
  <c r="B194" i="4"/>
  <c r="B195" i="4" a="1"/>
  <c r="B195" i="4" s="1"/>
  <c r="B196" i="4" a="1"/>
  <c r="B196" i="4" s="1"/>
  <c r="B197" i="4" a="1"/>
  <c r="B197" i="4"/>
  <c r="B198" i="4" a="1"/>
  <c r="B198" i="4" s="1"/>
  <c r="B199" i="4" a="1"/>
  <c r="B199" i="4"/>
  <c r="B200" i="4" a="1"/>
  <c r="B200" i="4" s="1"/>
  <c r="B201" i="4" a="1"/>
  <c r="B201" i="4" s="1"/>
  <c r="B202" i="4" a="1"/>
  <c r="B202" i="4"/>
  <c r="B203" i="4" a="1"/>
  <c r="B203" i="4" s="1"/>
  <c r="B204" i="4" a="1"/>
  <c r="B204" i="4" s="1"/>
  <c r="B205" i="4" a="1"/>
  <c r="B205" i="4" s="1"/>
  <c r="B206" i="4" a="1"/>
  <c r="B206" i="4"/>
  <c r="B207" i="4" a="1"/>
  <c r="B207" i="4"/>
  <c r="B208" i="4" a="1"/>
  <c r="B208" i="4" s="1"/>
  <c r="B209" i="4" a="1"/>
  <c r="B209" i="4" s="1"/>
  <c r="B210" i="4" a="1"/>
  <c r="B210" i="4" s="1"/>
  <c r="B211" i="4" a="1"/>
  <c r="B211" i="4" s="1"/>
  <c r="B212" i="4" a="1"/>
  <c r="B212" i="4" s="1"/>
  <c r="B213" i="4" a="1"/>
  <c r="B213" i="4"/>
  <c r="B214" i="4" a="1"/>
  <c r="B214" i="4" s="1"/>
  <c r="B215" i="4" a="1"/>
  <c r="B215" i="4" s="1"/>
  <c r="B216" i="4" a="1"/>
  <c r="B216" i="4" s="1"/>
  <c r="B217" i="4" a="1"/>
  <c r="B217" i="4"/>
  <c r="B218" i="4" a="1"/>
  <c r="B218" i="4" s="1"/>
  <c r="B219" i="4" a="1"/>
  <c r="B219" i="4" s="1"/>
  <c r="B220" i="4" a="1"/>
  <c r="B220" i="4" s="1"/>
  <c r="B221" i="4" a="1"/>
  <c r="B221" i="4" s="1"/>
  <c r="B222" i="4" a="1"/>
  <c r="B222" i="4" s="1"/>
  <c r="B223" i="4" a="1"/>
  <c r="B223" i="4" s="1"/>
  <c r="B224" i="4" a="1"/>
  <c r="B224" i="4" s="1"/>
  <c r="B225" i="4" a="1"/>
  <c r="B225" i="4"/>
  <c r="B226" i="4" a="1"/>
  <c r="B226" i="4" s="1"/>
  <c r="B227" i="4" a="1"/>
  <c r="B227" i="4" s="1"/>
  <c r="B228" i="4" a="1"/>
  <c r="B228" i="4" s="1"/>
  <c r="B229" i="4" a="1"/>
  <c r="B229" i="4" s="1"/>
  <c r="B230" i="4" a="1"/>
  <c r="B230" i="4"/>
  <c r="B231" i="4" a="1"/>
  <c r="B231" i="4" s="1"/>
  <c r="B232" i="4" a="1"/>
  <c r="B232" i="4" s="1"/>
  <c r="B233" i="4" a="1"/>
  <c r="B233" i="4" s="1"/>
  <c r="B234" i="4" a="1"/>
  <c r="B234" i="4"/>
  <c r="B235" i="4" a="1"/>
  <c r="B235" i="4"/>
  <c r="B236" i="4" a="1"/>
  <c r="B236" i="4" s="1"/>
  <c r="B237" i="4" a="1"/>
  <c r="B237" i="4" s="1"/>
  <c r="B238" i="4" a="1"/>
  <c r="B238" i="4"/>
  <c r="B239" i="4" a="1"/>
  <c r="B239" i="4"/>
  <c r="B240" i="4" a="1"/>
  <c r="B240" i="4" s="1"/>
  <c r="B241" i="4" a="1"/>
  <c r="B241" i="4" s="1"/>
  <c r="B242" i="4" a="1"/>
  <c r="B242" i="4" s="1"/>
  <c r="B243" i="4" a="1"/>
  <c r="B243" i="4"/>
  <c r="B244" i="4" a="1"/>
  <c r="B244" i="4" s="1"/>
  <c r="B245" i="4" a="1"/>
  <c r="B245" i="4"/>
  <c r="B246" i="4" a="1"/>
  <c r="B246" i="4" s="1"/>
  <c r="B247" i="4" a="1"/>
  <c r="B247" i="4" s="1"/>
  <c r="B248" i="4" a="1"/>
  <c r="B248" i="4" s="1"/>
  <c r="B249" i="4" a="1"/>
  <c r="B249" i="4"/>
  <c r="B250" i="4" a="1"/>
  <c r="B250" i="4" s="1"/>
  <c r="B251" i="4" a="1"/>
  <c r="B251" i="4" s="1"/>
  <c r="B252" i="4" a="1"/>
  <c r="B252" i="4" s="1"/>
  <c r="B253" i="4" a="1"/>
  <c r="B253" i="4" s="1"/>
  <c r="B254" i="4" a="1"/>
  <c r="B254" i="4"/>
  <c r="B255" i="4" a="1"/>
  <c r="B255" i="4" s="1"/>
  <c r="B256" i="4" a="1"/>
  <c r="B256" i="4" s="1"/>
  <c r="B257" i="4" a="1"/>
  <c r="B257" i="4" s="1"/>
  <c r="B258" i="4" a="1"/>
  <c r="B258" i="4" s="1"/>
  <c r="B259" i="4" a="1"/>
  <c r="B259" i="4" s="1"/>
  <c r="B260" i="4" a="1"/>
  <c r="B260" i="4" s="1"/>
  <c r="B261" i="4" a="1"/>
  <c r="B261" i="4" s="1"/>
  <c r="B262" i="4" a="1"/>
  <c r="B262" i="4" s="1"/>
  <c r="B263" i="4" a="1"/>
  <c r="B263" i="4" s="1"/>
  <c r="B264" i="4" a="1"/>
  <c r="B264" i="4" s="1"/>
  <c r="B265" i="4" a="1"/>
  <c r="B265" i="4" s="1"/>
  <c r="B266" i="4" a="1"/>
  <c r="B266" i="4" s="1"/>
  <c r="B267" i="4" a="1"/>
  <c r="B267" i="4" s="1"/>
  <c r="B268" i="4" a="1"/>
  <c r="B268" i="4" s="1"/>
  <c r="B269" i="4" a="1"/>
  <c r="B269" i="4" s="1"/>
  <c r="B270" i="4" a="1"/>
  <c r="B270" i="4" s="1"/>
  <c r="B271" i="4" a="1"/>
  <c r="B271" i="4" s="1"/>
  <c r="B272" i="4" a="1"/>
  <c r="B272" i="4" s="1"/>
  <c r="B273" i="4" a="1"/>
  <c r="B273" i="4" s="1"/>
  <c r="B274" i="4" a="1"/>
  <c r="B274" i="4" s="1"/>
  <c r="B275" i="4" a="1"/>
  <c r="B275" i="4"/>
  <c r="B276" i="4" a="1"/>
  <c r="B276" i="4" s="1"/>
  <c r="B277" i="4" a="1"/>
  <c r="B277" i="4" s="1"/>
  <c r="B278" i="4" a="1"/>
  <c r="B278" i="4" s="1"/>
  <c r="B279" i="4" a="1"/>
  <c r="B279" i="4" s="1"/>
  <c r="B280" i="4" a="1"/>
  <c r="B280" i="4" s="1"/>
  <c r="B281" i="4" a="1"/>
  <c r="B281" i="4"/>
  <c r="B282" i="4" a="1"/>
  <c r="B282" i="4" s="1"/>
  <c r="B283" i="4" a="1"/>
  <c r="B283" i="4" s="1"/>
  <c r="B284" i="4" a="1"/>
  <c r="B284" i="4" s="1"/>
  <c r="B285" i="4" a="1"/>
  <c r="B285" i="4" s="1"/>
  <c r="B286" i="4" a="1"/>
  <c r="B286" i="4" s="1"/>
  <c r="B287" i="4" a="1"/>
  <c r="B287" i="4" s="1"/>
  <c r="B288" i="4" a="1"/>
  <c r="B288" i="4" s="1"/>
  <c r="B289" i="4" a="1"/>
  <c r="B289" i="4" s="1"/>
  <c r="B290" i="4" a="1"/>
  <c r="B290" i="4" s="1"/>
  <c r="B291" i="4" a="1"/>
  <c r="B291" i="4" s="1"/>
  <c r="B292" i="4" a="1"/>
  <c r="B292" i="4" s="1"/>
  <c r="B293" i="4" a="1"/>
  <c r="B293" i="4"/>
  <c r="B294" i="4" a="1"/>
  <c r="B294" i="4" s="1"/>
  <c r="B295" i="4" a="1"/>
  <c r="B295" i="4" s="1"/>
  <c r="B296" i="4" a="1"/>
  <c r="B296" i="4" s="1"/>
  <c r="B297" i="4" a="1"/>
  <c r="B297" i="4" s="1"/>
  <c r="B298" i="4" a="1"/>
  <c r="B298" i="4" s="1"/>
  <c r="B299" i="4" a="1"/>
  <c r="B299" i="4" s="1"/>
  <c r="B300" i="4" a="1"/>
  <c r="B300" i="4" s="1"/>
  <c r="B301" i="4" a="1"/>
  <c r="B301" i="4" s="1"/>
  <c r="B302" i="4" a="1"/>
  <c r="B302" i="4" s="1"/>
  <c r="B303" i="4" a="1"/>
  <c r="B303" i="4" s="1"/>
  <c r="B304" i="4" a="1"/>
  <c r="B304" i="4" s="1"/>
  <c r="B305" i="4" a="1"/>
  <c r="B305" i="4" s="1"/>
  <c r="B306" i="4" a="1"/>
  <c r="B306" i="4" s="1"/>
  <c r="B307" i="4" a="1"/>
  <c r="B307" i="4"/>
  <c r="B308" i="4" a="1"/>
  <c r="B308" i="4" s="1"/>
  <c r="B309" i="4" a="1"/>
  <c r="B309" i="4" s="1"/>
  <c r="B310" i="4" a="1"/>
  <c r="B310" i="4" s="1"/>
  <c r="B311" i="4" a="1"/>
  <c r="B311" i="4" s="1"/>
  <c r="B312" i="4" a="1"/>
  <c r="B312" i="4" s="1"/>
  <c r="B313" i="4" a="1"/>
  <c r="B313" i="4"/>
  <c r="B314" i="4" a="1"/>
  <c r="B314" i="4" s="1"/>
  <c r="B315" i="4" a="1"/>
  <c r="B315" i="4" s="1"/>
  <c r="B316" i="4" a="1"/>
  <c r="B316" i="4" s="1"/>
  <c r="B317" i="4" a="1"/>
  <c r="B317" i="4" s="1"/>
  <c r="B318" i="4" a="1"/>
  <c r="B318" i="4" s="1"/>
  <c r="B319" i="4" a="1"/>
  <c r="B319" i="4" s="1"/>
  <c r="B320" i="4" a="1"/>
  <c r="B320" i="4" s="1"/>
  <c r="B321" i="4" a="1"/>
  <c r="B321" i="4" s="1"/>
  <c r="B322" i="4" a="1"/>
  <c r="B322" i="4" s="1"/>
  <c r="B323" i="4" a="1"/>
  <c r="B323" i="4" s="1"/>
  <c r="B324" i="4" a="1"/>
  <c r="B324" i="4" s="1"/>
  <c r="B325" i="4" a="1"/>
  <c r="B325" i="4" s="1"/>
  <c r="B326" i="4" a="1"/>
  <c r="B326" i="4" s="1"/>
  <c r="B327" i="4" a="1"/>
  <c r="B327" i="4"/>
  <c r="B328" i="4" a="1"/>
  <c r="B328" i="4" s="1"/>
  <c r="B329" i="4" a="1"/>
  <c r="B329" i="4" s="1"/>
  <c r="B330" i="4" a="1"/>
  <c r="B330" i="4"/>
  <c r="B331" i="4" a="1"/>
  <c r="B331" i="4" s="1"/>
  <c r="B332" i="4" a="1"/>
  <c r="B332" i="4" s="1"/>
  <c r="B333" i="4" a="1"/>
  <c r="B333" i="4" s="1"/>
  <c r="B334" i="4" a="1"/>
  <c r="B334" i="4"/>
  <c r="B335" i="4" a="1"/>
  <c r="B335" i="4"/>
  <c r="B336" i="4" a="1"/>
  <c r="B336" i="4" s="1"/>
  <c r="B337" i="4" a="1"/>
  <c r="B337" i="4" s="1"/>
  <c r="B338" i="4" a="1"/>
  <c r="B338" i="4" s="1"/>
  <c r="B339" i="4" a="1"/>
  <c r="B339" i="4" s="1"/>
  <c r="B340" i="4" a="1"/>
  <c r="B340" i="4" s="1"/>
  <c r="B341" i="4" a="1"/>
  <c r="B341" i="4"/>
  <c r="B342" i="4" a="1"/>
  <c r="B342" i="4" s="1"/>
  <c r="B343" i="4" a="1"/>
  <c r="B343" i="4" s="1"/>
  <c r="B344" i="4" a="1"/>
  <c r="B344" i="4" s="1"/>
  <c r="B345" i="4" a="1"/>
  <c r="B345" i="4" s="1"/>
  <c r="B346" i="4" a="1"/>
  <c r="B346" i="4" s="1"/>
  <c r="B347" i="4" a="1"/>
  <c r="B347" i="4" s="1"/>
  <c r="B348" i="4" a="1"/>
  <c r="B348" i="4" s="1"/>
  <c r="B349" i="4" a="1"/>
  <c r="B349" i="4" s="1"/>
  <c r="B350" i="4" a="1"/>
  <c r="B350" i="4" s="1"/>
  <c r="B351" i="4" a="1"/>
  <c r="B351" i="4" s="1"/>
  <c r="B352" i="4" a="1"/>
  <c r="B352" i="4" s="1"/>
  <c r="B353" i="4" a="1"/>
  <c r="B353" i="4" s="1"/>
  <c r="B354" i="4" a="1"/>
  <c r="B354" i="4" s="1"/>
  <c r="B355" i="4" a="1"/>
  <c r="B355" i="4" s="1"/>
  <c r="B356" i="4" a="1"/>
  <c r="B356" i="4" s="1"/>
  <c r="B357" i="4" a="1"/>
  <c r="B357" i="4" s="1"/>
  <c r="B358" i="4" a="1"/>
  <c r="B358" i="4" s="1"/>
  <c r="B359" i="4" a="1"/>
  <c r="B359" i="4" s="1"/>
  <c r="B360" i="4" a="1"/>
  <c r="B360" i="4" s="1"/>
  <c r="B361" i="4" a="1"/>
  <c r="B361" i="4" s="1"/>
  <c r="B362" i="4" a="1"/>
  <c r="B362" i="4" s="1"/>
  <c r="B363" i="4" a="1"/>
  <c r="B363" i="4" s="1"/>
  <c r="B364" i="4" a="1"/>
  <c r="B364" i="4" s="1"/>
  <c r="B365" i="4" a="1"/>
  <c r="B365" i="4" s="1"/>
  <c r="B366" i="4" a="1"/>
  <c r="B366" i="4" s="1"/>
  <c r="B367" i="4" a="1"/>
  <c r="B367" i="4" s="1"/>
  <c r="B368" i="4" a="1"/>
  <c r="B368" i="4" s="1"/>
  <c r="B369" i="4" a="1"/>
  <c r="B369" i="4" s="1"/>
  <c r="B370" i="4" a="1"/>
  <c r="B370" i="4" s="1"/>
  <c r="B371" i="4" a="1"/>
  <c r="B371" i="4" s="1"/>
  <c r="B372" i="4" a="1"/>
  <c r="B372" i="4" s="1"/>
  <c r="B373" i="4" a="1"/>
  <c r="B373" i="4" s="1"/>
  <c r="B374" i="4" a="1"/>
  <c r="B374" i="4" s="1"/>
  <c r="B375" i="4" a="1"/>
  <c r="B375" i="4" s="1"/>
  <c r="B376" i="4" a="1"/>
  <c r="B376" i="4" s="1"/>
  <c r="B377" i="4" a="1"/>
  <c r="B377" i="4" s="1"/>
  <c r="B378" i="4" a="1"/>
  <c r="B378" i="4" s="1"/>
  <c r="B379" i="4" a="1"/>
  <c r="B379" i="4" s="1"/>
  <c r="B380" i="4" a="1"/>
  <c r="B380" i="4" s="1"/>
  <c r="B381" i="4" a="1"/>
  <c r="B381" i="4" s="1"/>
  <c r="B382" i="4" a="1"/>
  <c r="B382" i="4" s="1"/>
  <c r="B383" i="4" a="1"/>
  <c r="B383" i="4" s="1"/>
  <c r="B384" i="4" a="1"/>
  <c r="B384" i="4" s="1"/>
  <c r="B385" i="4" a="1"/>
  <c r="B385" i="4" s="1"/>
  <c r="B386" i="4" a="1"/>
  <c r="B386" i="4" s="1"/>
  <c r="B387" i="4" a="1"/>
  <c r="B387" i="4" s="1"/>
  <c r="B388" i="4" a="1"/>
  <c r="B388" i="4" s="1"/>
  <c r="B389" i="4" a="1"/>
  <c r="B389" i="4" s="1"/>
  <c r="B390" i="4" a="1"/>
  <c r="B390" i="4" s="1"/>
  <c r="B391" i="4" a="1"/>
  <c r="B391" i="4" s="1"/>
  <c r="B392" i="4" a="1"/>
  <c r="B392" i="4" s="1"/>
  <c r="B393" i="4" a="1"/>
  <c r="B393" i="4" s="1"/>
  <c r="B394" i="4" a="1"/>
  <c r="B394" i="4" s="1"/>
  <c r="B395" i="4" a="1"/>
  <c r="B395" i="4" s="1"/>
  <c r="B396" i="4" a="1"/>
  <c r="B396" i="4" s="1"/>
  <c r="B397" i="4" a="1"/>
  <c r="B397" i="4" s="1"/>
  <c r="B398" i="4" a="1"/>
  <c r="B398" i="4" s="1"/>
  <c r="B399" i="4" a="1"/>
  <c r="B399" i="4" s="1"/>
  <c r="B400" i="4" a="1"/>
  <c r="B400" i="4" s="1"/>
  <c r="B401" i="4" a="1"/>
  <c r="B401" i="4" s="1"/>
  <c r="B402" i="4" a="1"/>
  <c r="B402" i="4" s="1"/>
  <c r="B403" i="4" a="1"/>
  <c r="B403" i="4" s="1"/>
  <c r="B404" i="4" a="1"/>
  <c r="B404" i="4" s="1"/>
  <c r="B405" i="4" a="1"/>
  <c r="B405" i="4" s="1"/>
  <c r="B406" i="4" a="1"/>
  <c r="B406" i="4" s="1"/>
  <c r="B407" i="4" a="1"/>
  <c r="B407" i="4" s="1"/>
  <c r="B408" i="4" a="1"/>
  <c r="B408" i="4" s="1"/>
  <c r="B409" i="4" a="1"/>
  <c r="B409" i="4" s="1"/>
  <c r="B410" i="4" a="1"/>
  <c r="B410" i="4" s="1"/>
  <c r="B411" i="4" a="1"/>
  <c r="B411" i="4" s="1"/>
  <c r="B412" i="4" a="1"/>
  <c r="B412" i="4" s="1"/>
  <c r="B413" i="4" a="1"/>
  <c r="B413" i="4" s="1"/>
  <c r="B414" i="4" a="1"/>
  <c r="B414" i="4" s="1"/>
  <c r="B415" i="4" a="1"/>
  <c r="B415" i="4" s="1"/>
  <c r="B416" i="4" a="1"/>
  <c r="B416" i="4" s="1"/>
  <c r="B417" i="4" a="1"/>
  <c r="B417" i="4" s="1"/>
  <c r="B418" i="4" a="1"/>
  <c r="B418" i="4" s="1"/>
  <c r="B419" i="4" a="1"/>
  <c r="B419" i="4" s="1"/>
  <c r="B420" i="4" a="1"/>
  <c r="B420" i="4" s="1"/>
  <c r="B421" i="4" a="1"/>
  <c r="B421" i="4" s="1"/>
  <c r="B422" i="4" a="1"/>
  <c r="B422" i="4" s="1"/>
  <c r="B423" i="4" a="1"/>
  <c r="B423" i="4" s="1"/>
  <c r="B424" i="4" a="1"/>
  <c r="B424" i="4" s="1"/>
  <c r="B425" i="4" a="1"/>
  <c r="B425" i="4" s="1"/>
  <c r="B426" i="4" a="1"/>
  <c r="B426" i="4" s="1"/>
  <c r="B427" i="4" a="1"/>
  <c r="B427" i="4" s="1"/>
  <c r="B428" i="4" a="1"/>
  <c r="B428" i="4" s="1"/>
  <c r="B429" i="4" a="1"/>
  <c r="B429" i="4" s="1"/>
  <c r="B430" i="4" a="1"/>
  <c r="B430" i="4" s="1"/>
  <c r="B431" i="4" a="1"/>
  <c r="B431" i="4" s="1"/>
  <c r="B432" i="4" a="1"/>
  <c r="B432" i="4" s="1"/>
  <c r="B433" i="4" a="1"/>
  <c r="B433" i="4" s="1"/>
  <c r="B434" i="4" a="1"/>
  <c r="B434" i="4" s="1"/>
  <c r="B435" i="4" a="1"/>
  <c r="B435" i="4" s="1"/>
  <c r="B436" i="4" a="1"/>
  <c r="B436" i="4" s="1"/>
  <c r="B437" i="4" a="1"/>
  <c r="B437" i="4" s="1"/>
  <c r="B3" i="4" a="1"/>
  <c r="B3" i="4" s="1"/>
  <c r="B4" i="3" a="1"/>
  <c r="B4" i="3" s="1"/>
  <c r="B5" i="3" a="1"/>
  <c r="B5" i="3" s="1"/>
  <c r="B6" i="3" a="1"/>
  <c r="B6" i="3"/>
  <c r="B7" i="3" a="1"/>
  <c r="B7" i="3"/>
  <c r="B8" i="3" a="1"/>
  <c r="B8" i="3" s="1"/>
  <c r="B9" i="3" a="1"/>
  <c r="B9" i="3" s="1"/>
  <c r="B10" i="3" a="1"/>
  <c r="B10" i="3"/>
  <c r="B11" i="3" a="1"/>
  <c r="B11" i="3"/>
  <c r="B12" i="3" a="1"/>
  <c r="B12" i="3" s="1"/>
  <c r="B13" i="3" a="1"/>
  <c r="B13" i="3" s="1"/>
  <c r="B14" i="3" a="1"/>
  <c r="B14" i="3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3" i="3" a="1"/>
  <c r="B3" i="3" s="1"/>
  <c r="G6" i="18"/>
  <c r="D5" i="18"/>
  <c r="J5" i="11" l="1"/>
  <c r="J7" i="11" s="1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4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C4" i="8"/>
  <c r="B20" i="8"/>
  <c r="B21" i="8"/>
  <c r="B22" i="8"/>
  <c r="B23" i="8"/>
  <c r="B24" i="8"/>
  <c r="B25" i="8"/>
  <c r="B26" i="8"/>
  <c r="B27" i="8"/>
  <c r="B28" i="8"/>
  <c r="B29" i="8"/>
  <c r="B19" i="8"/>
  <c r="C5" i="8"/>
  <c r="C6" i="8"/>
  <c r="C7" i="8"/>
  <c r="C8" i="8"/>
  <c r="C9" i="8"/>
  <c r="C10" i="8"/>
  <c r="C11" i="8"/>
  <c r="C12" i="8"/>
  <c r="C13" i="8"/>
  <c r="C14" i="8"/>
  <c r="B4" i="8"/>
  <c r="B5" i="8"/>
  <c r="B6" i="8"/>
  <c r="B7" i="8"/>
  <c r="B8" i="8"/>
  <c r="B9" i="8"/>
  <c r="B10" i="8"/>
  <c r="B11" i="8"/>
  <c r="B12" i="8"/>
  <c r="B13" i="8"/>
  <c r="B14" i="8"/>
  <c r="B5" i="7"/>
  <c r="D31" i="17"/>
  <c r="D32" i="17"/>
  <c r="D33" i="17"/>
  <c r="D34" i="17"/>
  <c r="D35" i="17"/>
  <c r="D36" i="17"/>
  <c r="D37" i="17"/>
  <c r="D38" i="17"/>
  <c r="D39" i="17"/>
  <c r="D40" i="17"/>
  <c r="D41" i="17"/>
  <c r="D30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G3" i="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32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E21" i="14"/>
  <c r="D6" i="14"/>
  <c r="H7" i="14"/>
  <c r="G7" i="14" s="1"/>
  <c r="H8" i="14"/>
  <c r="G8" i="14" s="1"/>
  <c r="H9" i="14"/>
  <c r="G9" i="14" s="1"/>
  <c r="H10" i="14"/>
  <c r="G10" i="14" s="1"/>
  <c r="H11" i="14"/>
  <c r="G11" i="14" s="1"/>
  <c r="H12" i="14"/>
  <c r="G12" i="14" s="1"/>
  <c r="H13" i="14"/>
  <c r="G13" i="14" s="1"/>
  <c r="H14" i="14"/>
  <c r="G14" i="14" s="1"/>
  <c r="H15" i="14"/>
  <c r="G15" i="14" s="1"/>
  <c r="H16" i="14"/>
  <c r="G16" i="14" s="1"/>
  <c r="H17" i="14"/>
  <c r="G17" i="14" s="1"/>
  <c r="H18" i="14"/>
  <c r="G18" i="14" s="1"/>
  <c r="H19" i="14"/>
  <c r="G19" i="14" s="1"/>
  <c r="H20" i="14"/>
  <c r="G20" i="14" s="1"/>
  <c r="H21" i="14"/>
  <c r="G21" i="14" s="1"/>
  <c r="H22" i="14"/>
  <c r="G22" i="14" s="1"/>
  <c r="H23" i="14"/>
  <c r="G23" i="14" s="1"/>
  <c r="H24" i="14"/>
  <c r="G24" i="14" s="1"/>
  <c r="H25" i="14"/>
  <c r="G25" i="14" s="1"/>
  <c r="H26" i="14"/>
  <c r="G26" i="14" s="1"/>
  <c r="H6" i="14"/>
  <c r="G6" i="14" s="1"/>
  <c r="E6" i="14"/>
  <c r="F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2" i="14"/>
  <c r="E24" i="14"/>
  <c r="E25" i="14"/>
  <c r="E2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B3" i="7"/>
  <c r="B19" i="7"/>
  <c r="B20" i="7"/>
  <c r="B21" i="7"/>
  <c r="B22" i="7"/>
  <c r="B23" i="7"/>
  <c r="B24" i="7"/>
  <c r="B25" i="7"/>
  <c r="B26" i="7"/>
  <c r="B27" i="7"/>
  <c r="B28" i="7"/>
  <c r="B18" i="7"/>
  <c r="B4" i="7"/>
  <c r="B6" i="7"/>
  <c r="B7" i="7"/>
  <c r="B8" i="7"/>
  <c r="B9" i="7"/>
  <c r="B10" i="7"/>
  <c r="B11" i="7"/>
  <c r="B12" i="7"/>
  <c r="B13" i="7"/>
  <c r="B4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27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15" i="5"/>
  <c r="B16" i="5"/>
  <c r="B17" i="5"/>
  <c r="B14" i="5"/>
  <c r="B4" i="5"/>
  <c r="B5" i="5"/>
  <c r="B6" i="5"/>
  <c r="B7" i="5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C5" i="19"/>
  <c r="C6" i="19"/>
  <c r="C7" i="19"/>
  <c r="C8" i="19"/>
  <c r="C9" i="19"/>
  <c r="C10" i="19"/>
  <c r="C11" i="19"/>
  <c r="C12" i="19"/>
  <c r="C13" i="19"/>
  <c r="C14" i="19"/>
  <c r="C15" i="19"/>
  <c r="H23" i="18"/>
  <c r="H24" i="18"/>
  <c r="H25" i="18"/>
  <c r="H26" i="18"/>
  <c r="H27" i="18"/>
  <c r="D22" i="18"/>
  <c r="D23" i="18"/>
  <c r="D24" i="18"/>
  <c r="D25" i="18"/>
  <c r="D26" i="18"/>
  <c r="D27" i="18"/>
  <c r="D28" i="18"/>
  <c r="D29" i="18"/>
  <c r="D30" i="18"/>
  <c r="D31" i="18"/>
  <c r="D32" i="18"/>
  <c r="G5" i="18"/>
  <c r="F6" i="18"/>
  <c r="G7" i="18"/>
  <c r="F7" i="18" s="1"/>
  <c r="G8" i="18"/>
  <c r="F8" i="18" s="1"/>
  <c r="G9" i="18"/>
  <c r="F9" i="18" s="1"/>
  <c r="G10" i="18"/>
  <c r="F10" i="18" s="1"/>
  <c r="G11" i="18"/>
  <c r="F11" i="18" s="1"/>
  <c r="G12" i="18"/>
  <c r="F12" i="18" s="1"/>
  <c r="G13" i="18"/>
  <c r="F13" i="18" s="1"/>
  <c r="G14" i="18"/>
  <c r="F14" i="18" s="1"/>
  <c r="G15" i="18"/>
  <c r="F15" i="18" s="1"/>
  <c r="G16" i="18"/>
  <c r="F16" i="18" s="1"/>
  <c r="D6" i="18"/>
  <c r="D7" i="18"/>
  <c r="D8" i="18"/>
  <c r="D9" i="18"/>
  <c r="D10" i="18"/>
  <c r="D11" i="18"/>
  <c r="D12" i="18"/>
  <c r="D13" i="18"/>
  <c r="D14" i="18"/>
  <c r="D15" i="18"/>
  <c r="D16" i="18"/>
  <c r="J23" i="14" l="1"/>
  <c r="B129" i="9"/>
  <c r="H21" i="9"/>
  <c r="E129" i="9"/>
  <c r="B18" i="5"/>
  <c r="H22" i="9"/>
  <c r="B15" i="8"/>
  <c r="C15" i="8"/>
  <c r="B8" i="5"/>
  <c r="B438" i="4"/>
  <c r="B23" i="3"/>
  <c r="J4" i="4" s="1"/>
  <c r="D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B26" i="2"/>
  <c r="C16" i="18"/>
  <c r="C15" i="18"/>
  <c r="C14" i="18"/>
  <c r="C13" i="18"/>
  <c r="C12" i="18"/>
  <c r="C11" i="18"/>
  <c r="C10" i="18"/>
  <c r="C9" i="18"/>
  <c r="C8" i="18"/>
  <c r="C7" i="18"/>
  <c r="C6" i="18"/>
  <c r="C5" i="18"/>
  <c r="B28" i="2"/>
  <c r="D48" i="2"/>
  <c r="D47" i="2"/>
  <c r="D46" i="2"/>
  <c r="D45" i="2"/>
  <c r="D44" i="2"/>
  <c r="D43" i="2"/>
  <c r="D42" i="2"/>
  <c r="D41" i="2"/>
  <c r="D40" i="2"/>
  <c r="D39" i="2"/>
  <c r="D38" i="2"/>
  <c r="C48" i="2"/>
  <c r="C47" i="2"/>
  <c r="C46" i="2"/>
  <c r="C45" i="2"/>
  <c r="C44" i="2"/>
  <c r="C43" i="2"/>
  <c r="C42" i="2"/>
  <c r="C41" i="2"/>
  <c r="C40" i="2"/>
  <c r="C39" i="2"/>
  <c r="C38" i="2"/>
  <c r="D37" i="2"/>
  <c r="C37" i="2"/>
  <c r="B15" i="2"/>
  <c r="B4" i="10"/>
  <c r="B5" i="10"/>
  <c r="B32" i="2"/>
  <c r="B31" i="2"/>
  <c r="B30" i="2"/>
  <c r="B29" i="2"/>
  <c r="B27" i="2"/>
  <c r="B49" i="1"/>
  <c r="B48" i="1"/>
  <c r="B47" i="1"/>
  <c r="B46" i="1"/>
  <c r="B45" i="1"/>
  <c r="B44" i="1"/>
  <c r="B43" i="1"/>
  <c r="B42" i="1"/>
  <c r="B41" i="1"/>
  <c r="B40" i="1"/>
  <c r="B39" i="1"/>
  <c r="B38" i="1"/>
  <c r="B21" i="2"/>
  <c r="B20" i="2"/>
  <c r="B19" i="2"/>
  <c r="B18" i="2"/>
  <c r="B17" i="2"/>
  <c r="B16" i="2"/>
  <c r="B8" i="2"/>
  <c r="B10" i="2"/>
  <c r="B9" i="2"/>
  <c r="B7" i="2"/>
  <c r="B6" i="2"/>
  <c r="B5" i="2"/>
  <c r="B4" i="2"/>
  <c r="B3" i="2"/>
  <c r="B3" i="1"/>
  <c r="B29" i="1"/>
  <c r="B31" i="1"/>
  <c r="B30" i="1"/>
  <c r="B28" i="1"/>
  <c r="B27" i="1"/>
  <c r="B26" i="1"/>
  <c r="B25" i="1"/>
  <c r="B24" i="1"/>
  <c r="B23" i="1"/>
  <c r="B22" i="1"/>
  <c r="B21" i="1"/>
  <c r="B20" i="1"/>
  <c r="B13" i="1"/>
  <c r="B14" i="1"/>
  <c r="B12" i="1"/>
  <c r="B11" i="1"/>
  <c r="B10" i="1"/>
  <c r="B9" i="1"/>
  <c r="B8" i="1"/>
  <c r="B7" i="1"/>
  <c r="B6" i="1"/>
  <c r="B5" i="1"/>
  <c r="B4" i="1"/>
  <c r="E17" i="8" l="1"/>
  <c r="C27" i="2"/>
  <c r="C49" i="2"/>
  <c r="D49" i="2"/>
  <c r="H5" i="18"/>
  <c r="C32" i="2"/>
  <c r="C29" i="1"/>
  <c r="C24" i="1"/>
  <c r="C25" i="1"/>
  <c r="C30" i="2"/>
  <c r="C28" i="1"/>
  <c r="C28" i="2"/>
  <c r="C26" i="2"/>
  <c r="C29" i="2"/>
  <c r="C20" i="1"/>
  <c r="C30" i="1"/>
  <c r="C27" i="1"/>
  <c r="C21" i="1"/>
  <c r="C22" i="1"/>
  <c r="C31" i="1"/>
  <c r="C23" i="1"/>
  <c r="C26" i="1"/>
  <c r="C31" i="2"/>
  <c r="D33" i="18" l="1"/>
  <c r="C22" i="18" s="1"/>
  <c r="C16" i="19"/>
  <c r="H28" i="18"/>
  <c r="G25" i="18" s="1"/>
  <c r="G24" i="18" l="1"/>
  <c r="G21" i="18"/>
  <c r="G27" i="18"/>
  <c r="G23" i="18"/>
  <c r="C29" i="18"/>
  <c r="C28" i="18"/>
  <c r="C27" i="18"/>
  <c r="C23" i="18"/>
  <c r="C26" i="18"/>
  <c r="C21" i="18"/>
  <c r="C25" i="18"/>
  <c r="C32" i="18"/>
  <c r="C24" i="18"/>
  <c r="C31" i="18"/>
  <c r="C30" i="18"/>
  <c r="B7" i="19"/>
  <c r="B11" i="19"/>
  <c r="B15" i="19"/>
  <c r="B8" i="19"/>
  <c r="B9" i="19"/>
  <c r="B13" i="19"/>
  <c r="B12" i="19"/>
  <c r="B5" i="19"/>
  <c r="B6" i="19"/>
  <c r="B10" i="19"/>
  <c r="B14" i="19"/>
  <c r="B4" i="19"/>
  <c r="G26" i="18"/>
  <c r="G22" i="18"/>
  <c r="G17" i="18"/>
  <c r="F17" i="18"/>
  <c r="B16" i="19" l="1"/>
  <c r="G28" i="18"/>
  <c r="C33" i="18"/>
  <c r="H17" i="18"/>
  <c r="E17" i="18"/>
  <c r="B38" i="2"/>
  <c r="B39" i="2"/>
  <c r="B40" i="2"/>
  <c r="B41" i="2"/>
  <c r="B42" i="2"/>
  <c r="B43" i="2"/>
  <c r="B44" i="2"/>
  <c r="B45" i="2"/>
  <c r="B46" i="2"/>
  <c r="B47" i="2"/>
  <c r="B48" i="2"/>
  <c r="B37" i="2"/>
  <c r="B49" i="2" l="1"/>
  <c r="I6" i="18"/>
  <c r="I10" i="18"/>
  <c r="I14" i="18"/>
  <c r="I9" i="18"/>
  <c r="I7" i="18"/>
  <c r="I11" i="18"/>
  <c r="I15" i="18"/>
  <c r="I13" i="18"/>
  <c r="I8" i="18"/>
  <c r="I12" i="18"/>
  <c r="I16" i="18"/>
  <c r="C17" i="18" l="1"/>
  <c r="D42" i="17"/>
  <c r="C35" i="17" s="1"/>
  <c r="D25" i="17"/>
  <c r="C39" i="17" l="1"/>
  <c r="C38" i="17"/>
  <c r="E27" i="17"/>
  <c r="C41" i="17"/>
  <c r="C37" i="17"/>
  <c r="C34" i="17"/>
  <c r="C33" i="17"/>
  <c r="C30" i="17"/>
  <c r="C32" i="17"/>
  <c r="C31" i="17"/>
  <c r="C40" i="17"/>
  <c r="C4" i="17"/>
  <c r="C23" i="17"/>
  <c r="C6" i="17"/>
  <c r="C14" i="17"/>
  <c r="C11" i="17"/>
  <c r="C13" i="17"/>
  <c r="C24" i="17"/>
  <c r="C5" i="17"/>
  <c r="C7" i="17"/>
  <c r="C12" i="17"/>
  <c r="C9" i="17"/>
  <c r="C19" i="17"/>
  <c r="C36" i="17"/>
  <c r="C17" i="17"/>
  <c r="C16" i="17"/>
  <c r="C15" i="17"/>
  <c r="C22" i="17"/>
  <c r="C21" i="17"/>
  <c r="C8" i="17"/>
  <c r="C20" i="17"/>
  <c r="C10" i="17"/>
  <c r="C18" i="17"/>
  <c r="C25" i="17" l="1"/>
  <c r="C42" i="17"/>
  <c r="C18" i="12"/>
  <c r="B6" i="15" l="1"/>
  <c r="B24" i="15"/>
  <c r="F27" i="14" l="1"/>
  <c r="E27" i="14"/>
  <c r="D27" i="14"/>
  <c r="J26" i="14"/>
  <c r="I26" i="14"/>
  <c r="J25" i="14"/>
  <c r="I25" i="14"/>
  <c r="J24" i="14"/>
  <c r="I24" i="14"/>
  <c r="I23" i="14"/>
  <c r="J22" i="14"/>
  <c r="I22" i="14"/>
  <c r="J21" i="14"/>
  <c r="I21" i="14"/>
  <c r="J20" i="14"/>
  <c r="I20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I9" i="14"/>
  <c r="J8" i="14"/>
  <c r="I8" i="14"/>
  <c r="J7" i="14"/>
  <c r="I7" i="14"/>
  <c r="J6" i="14"/>
  <c r="I6" i="14"/>
  <c r="I27" i="14" l="1"/>
  <c r="B6" i="10" l="1"/>
  <c r="B5" i="12" l="1"/>
  <c r="B8" i="12" s="1"/>
  <c r="C4" i="7" l="1"/>
  <c r="C5" i="7"/>
  <c r="C6" i="7"/>
  <c r="C7" i="7"/>
  <c r="C8" i="7"/>
  <c r="C9" i="7"/>
  <c r="C10" i="7"/>
  <c r="C3" i="7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2" i="6"/>
  <c r="C24" i="6"/>
  <c r="C4" i="6"/>
  <c r="C25" i="6" l="1"/>
  <c r="B11" i="2"/>
  <c r="B15" i="1"/>
  <c r="C14" i="7"/>
  <c r="B60" i="3"/>
  <c r="B14" i="7"/>
  <c r="C20" i="7" l="1"/>
  <c r="C21" i="7"/>
  <c r="C19" i="7"/>
  <c r="C27" i="7"/>
  <c r="C24" i="7"/>
  <c r="C28" i="7"/>
  <c r="C25" i="7"/>
  <c r="C22" i="7"/>
  <c r="C23" i="7"/>
  <c r="C26" i="7"/>
  <c r="C40" i="6"/>
  <c r="C32" i="6"/>
  <c r="C38" i="6"/>
  <c r="C37" i="6"/>
  <c r="C36" i="6"/>
  <c r="C35" i="6"/>
  <c r="C34" i="6"/>
  <c r="C33" i="6"/>
  <c r="C47" i="6"/>
  <c r="C39" i="6"/>
  <c r="C30" i="6"/>
  <c r="C46" i="6"/>
  <c r="C29" i="6"/>
  <c r="C31" i="6" s="1"/>
  <c r="C45" i="6"/>
  <c r="C28" i="6"/>
  <c r="C44" i="6"/>
  <c r="C27" i="6"/>
  <c r="C43" i="6"/>
  <c r="C42" i="6"/>
  <c r="C41" i="6"/>
  <c r="C18" i="7"/>
  <c r="C48" i="6" l="1"/>
  <c r="J6" i="4"/>
  <c r="J16" i="4" l="1"/>
  <c r="J12" i="4"/>
  <c r="J11" i="4"/>
  <c r="B50" i="1"/>
  <c r="B32" i="1"/>
  <c r="B22" i="2"/>
  <c r="H27" i="14"/>
  <c r="J27" i="14" s="1"/>
  <c r="J9" i="14"/>
  <c r="J6" i="11" l="1"/>
  <c r="E41" i="14"/>
  <c r="I5" i="18"/>
  <c r="I17" i="18" s="1"/>
  <c r="E52" i="14" l="1"/>
  <c r="E42" i="14"/>
  <c r="E36" i="14"/>
  <c r="E46" i="14"/>
  <c r="E50" i="14"/>
  <c r="E38" i="14"/>
  <c r="E37" i="14"/>
  <c r="E40" i="14"/>
  <c r="E48" i="14"/>
  <c r="E49" i="14"/>
  <c r="E43" i="14"/>
  <c r="E45" i="14"/>
  <c r="E51" i="14"/>
  <c r="E47" i="14"/>
  <c r="E44" i="14"/>
  <c r="E39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<sst xmlns="http://schemas.openxmlformats.org/spreadsheetml/2006/main" count="1661" uniqueCount="248">
  <si>
    <t>Kusan Hulu</t>
  </si>
  <si>
    <t>Batu Licin</t>
  </si>
  <si>
    <t>Simpang Empat</t>
  </si>
  <si>
    <t>Sungai Loban</t>
  </si>
  <si>
    <t>Angsana</t>
  </si>
  <si>
    <t>Satui</t>
  </si>
  <si>
    <t>Kusan Tengah</t>
  </si>
  <si>
    <t>Karang Bintang</t>
  </si>
  <si>
    <t>Teluk Kepayang</t>
  </si>
  <si>
    <t>Kusan Hilir</t>
  </si>
  <si>
    <t>Batulicin</t>
  </si>
  <si>
    <t>Mantewe</t>
  </si>
  <si>
    <t>Kuranji</t>
  </si>
  <si>
    <t>Kecamatan</t>
  </si>
  <si>
    <t>Jumlah Proyek</t>
  </si>
  <si>
    <t>ANUGERAH BAROKAH CAKRAWALA</t>
  </si>
  <si>
    <t>ANUGERAH BAROKAH ENERGI BARU</t>
  </si>
  <si>
    <t>KODECO AGROJAYA MANDIRI</t>
  </si>
  <si>
    <t>MITRA SETIA TANAH BUMBU</t>
  </si>
  <si>
    <t>SINGALAND ASETAMA</t>
  </si>
  <si>
    <t>THIESS CONTRACTORS INDONESIA</t>
  </si>
  <si>
    <t>TOUDANO MANDIRI ABADI</t>
  </si>
  <si>
    <t>TRANSCOAL MINERGY</t>
  </si>
  <si>
    <t>YIWAN MINING</t>
  </si>
  <si>
    <t>NAMA PERUSAHAAN</t>
  </si>
  <si>
    <t>TAMBAHAN INVESTASI</t>
  </si>
  <si>
    <t>ADISURYA CIPTA LESTARI</t>
  </si>
  <si>
    <t>AMANAH PUTRA BORNEO</t>
  </si>
  <si>
    <t>ANDIFA NUSA SAMUDERA</t>
  </si>
  <si>
    <t>ANDIFA PERKASA ENERGI</t>
  </si>
  <si>
    <t>ANGKASA JAYA MULIA</t>
  </si>
  <si>
    <t>ANGSANA JAYA ENERGI</t>
  </si>
  <si>
    <t>ANINDYA WIRAPUTRA KONSULT</t>
  </si>
  <si>
    <t>ANZAWARA SATRIA</t>
  </si>
  <si>
    <t>ARUTMIN INDONESIA</t>
  </si>
  <si>
    <t>ARYATAMA BANUA BIRU</t>
  </si>
  <si>
    <t>AXIS PRATAMA INDONESIA</t>
  </si>
  <si>
    <t>BANDAR INDO RAYA</t>
  </si>
  <si>
    <t>BAROKAH DEPUTRA NUSANTARA</t>
  </si>
  <si>
    <t>BATULICIN AGRO SENTOSA</t>
  </si>
  <si>
    <t>BATULICIN BORNEO MARITIM</t>
  </si>
  <si>
    <t>BATULICIN BUMI BERSUJUD</t>
  </si>
  <si>
    <t>BATULICIN ENAM SEMBILAN</t>
  </si>
  <si>
    <t>BATULICIN ENAM SEMBILAN PELABUHAN</t>
  </si>
  <si>
    <t>BATULICIN ENAM SEMBILAN PERTAMBANGAN</t>
  </si>
  <si>
    <t>BATULICIN ENAM SEMBILAN TRANSPORTASI</t>
  </si>
  <si>
    <t>BATULICIN NUSANTARA MARITIM</t>
  </si>
  <si>
    <t>BAYAN RESOURCES</t>
  </si>
  <si>
    <t>BINA BATULICIN USAHA</t>
  </si>
  <si>
    <t>BINA INDO RAYA</t>
  </si>
  <si>
    <t>BINA INTI PERSADA</t>
  </si>
  <si>
    <t>BINA KARYA PUTRA BATULICIN</t>
  </si>
  <si>
    <t>BINA USAHA BATULICIN</t>
  </si>
  <si>
    <t>BORNEO INDOBARA</t>
  </si>
  <si>
    <t>BORNEO MITRA BARATAMA</t>
  </si>
  <si>
    <t>BORNEO PALM PLANTATION</t>
  </si>
  <si>
    <t>BUANA KARYA BHAKTI</t>
  </si>
  <si>
    <t>BUANA KARYA NOVELTINDO</t>
  </si>
  <si>
    <t>BUKIT MAKMUR MANDIRI UTAMA</t>
  </si>
  <si>
    <t>BUMI NUSA PALAPA</t>
  </si>
  <si>
    <t>CAKRAWALA LANGIT SEJAHTERA</t>
  </si>
  <si>
    <t>CIPTA KRIDATAMA</t>
  </si>
  <si>
    <t>DARMA HENWA</t>
  </si>
  <si>
    <t>DAYA ENERGI TEKNIK</t>
  </si>
  <si>
    <t>DAYA INDAH YASA</t>
  </si>
  <si>
    <t>DELTA GARDA PERSADA</t>
  </si>
  <si>
    <t>DIANTA DAYA EMBARA</t>
  </si>
  <si>
    <t>DUA KOTA LAUT</t>
  </si>
  <si>
    <t>DUA SAMUDERA PERKASA</t>
  </si>
  <si>
    <t>ENAM SEMBILAN NIAGA NIKEL</t>
  </si>
  <si>
    <t>ENAM SEMBILAN TRADING BATUBARA</t>
  </si>
  <si>
    <t>FASS FOREST DEVELOPMENT</t>
  </si>
  <si>
    <t>FAST FOOD INDONESIA</t>
  </si>
  <si>
    <t>GARUDA WISNU AMERTA</t>
  </si>
  <si>
    <t>GAWI MAKMUR KALIMANTAN</t>
  </si>
  <si>
    <t>GEMA TAMBANG NUSANTARA</t>
  </si>
  <si>
    <t>GUNUNG MAYANG STONE</t>
  </si>
  <si>
    <t>HAJI MAMING PELABUHAN</t>
  </si>
  <si>
    <t>JEMBATAN NUSANTARA</t>
  </si>
  <si>
    <t>JHONLIN AGRO LESTARI</t>
  </si>
  <si>
    <t>JHONLIN AGRO RAYA Tbk</t>
  </si>
  <si>
    <t>JHONLIN BARATAMA</t>
  </si>
  <si>
    <t>JHONLIN MARINE TRANS</t>
  </si>
  <si>
    <t>KARYA JAYA LOGISTIK</t>
  </si>
  <si>
    <t>KARYA TANTRA MEGA</t>
  </si>
  <si>
    <t>KHARISMA KAISAR BATULICIN</t>
  </si>
  <si>
    <t>KRIDA CIPTA SATYA</t>
  </si>
  <si>
    <t>LINTAS FORTUNA NUSANTARA</t>
  </si>
  <si>
    <t>MAMING ENAM SEMBILAN</t>
  </si>
  <si>
    <t>MEGA UTAMA KHATULISTIWA</t>
  </si>
  <si>
    <t>MITRA JASA SEBAMBAN UTAMA</t>
  </si>
  <si>
    <t>MITRA MEGAH PROFITAMAS</t>
  </si>
  <si>
    <t>MITRAJAYA ABADI BERSAMA</t>
  </si>
  <si>
    <t>NAWAKARA PERKASA NUSANTARA</t>
  </si>
  <si>
    <t>NUSANTARA BATULICIN</t>
  </si>
  <si>
    <t>PAGAR MULYA KARYATAMA</t>
  </si>
  <si>
    <t>PELABUHAN SWANGI INDAH</t>
  </si>
  <si>
    <t>PELAYARAN BAHTERA ADHIGUNA</t>
  </si>
  <si>
    <t>PERKEBUNAN NUSANTARA IV</t>
  </si>
  <si>
    <t>PERUSAHAAN PERSEROAN (PERSERO) PT PELABUHAN INDONESIA DISINGKAT PT PELABUHAN INDONESIA (PERSERO)</t>
  </si>
  <si>
    <t>PESTA PORA ABADI</t>
  </si>
  <si>
    <t>PROFESIONAL TELEKOMUNIKASI INDONESIA</t>
  </si>
  <si>
    <t>PUTRA PERKASA ABADI</t>
  </si>
  <si>
    <t>REZKI BATULICIN TRANSPORT</t>
  </si>
  <si>
    <t>RICHEESE KULINER INDONESIA</t>
  </si>
  <si>
    <t>SALAM PACIFIC INDONESIA LINES</t>
  </si>
  <si>
    <t>SAMATOR GAS INDUSTRI</t>
  </si>
  <si>
    <t>SANGGAR SARANA BAJA</t>
  </si>
  <si>
    <t>SAPTAINDRA SEJATI</t>
  </si>
  <si>
    <t>SARANA INDO PERDANA</t>
  </si>
  <si>
    <t>SATUI BINA USAHA</t>
  </si>
  <si>
    <t>SEBAMBAN TERMINAL UMUM</t>
  </si>
  <si>
    <t>SEIA MITRA MANDIRI</t>
  </si>
  <si>
    <t>SERASI SHIPPING INDONESIA</t>
  </si>
  <si>
    <t>SILIKA MITRA PERKASA</t>
  </si>
  <si>
    <t>SINARNIAGA SEJAHTERA</t>
  </si>
  <si>
    <t>SOLUSI TUNAS PRATAMA</t>
  </si>
  <si>
    <t>SUMBER ALFARIA TRIJAYA</t>
  </si>
  <si>
    <t>SUMBER BERLIAN MOTORS</t>
  </si>
  <si>
    <t>SUMBER CIPTA MULTINIAGA</t>
  </si>
  <si>
    <t>SUMBERDAYA SEWATAMA</t>
  </si>
  <si>
    <t>SUNGAI DANAU JAYA</t>
  </si>
  <si>
    <t>SUPRIMA MITRA ADIHUSADA</t>
  </si>
  <si>
    <t>TANAH BUMBU RESOURCES</t>
  </si>
  <si>
    <t>TATA BUANA KARYA</t>
  </si>
  <si>
    <t>TIMUR SATRIA PERKASA</t>
  </si>
  <si>
    <t>TIRTAKENCANA TATAWARNA</t>
  </si>
  <si>
    <t>UDANG MARIANI ENAM SEMBILAN</t>
  </si>
  <si>
    <t>UNITED TRACTORS</t>
  </si>
  <si>
    <t>WAHANA BARATAMA MINING</t>
  </si>
  <si>
    <t>WARGI SANTOSA</t>
  </si>
  <si>
    <t>Data Tarikan dari sistem</t>
  </si>
  <si>
    <t>Data Release BKPM</t>
  </si>
  <si>
    <t>Data Tarikan dari OSS</t>
  </si>
  <si>
    <t>Nama Perusahaan</t>
  </si>
  <si>
    <t xml:space="preserve">Realisasi </t>
  </si>
  <si>
    <t>Data Release</t>
  </si>
  <si>
    <t>UMK</t>
  </si>
  <si>
    <t>Skala</t>
  </si>
  <si>
    <t>Data Tarikan</t>
  </si>
  <si>
    <t>TKI</t>
  </si>
  <si>
    <t>TKA</t>
  </si>
  <si>
    <t>Perusahaan</t>
  </si>
  <si>
    <t>Singapura</t>
  </si>
  <si>
    <t>R.R. Tiongkok</t>
  </si>
  <si>
    <t>Hongkong, RRT</t>
  </si>
  <si>
    <t>Nama Negara</t>
  </si>
  <si>
    <t>Proyek</t>
  </si>
  <si>
    <t>Jasa Lainnya</t>
  </si>
  <si>
    <t>Pertambangan</t>
  </si>
  <si>
    <t>Hotel dan Restoran</t>
  </si>
  <si>
    <t>Transportasi, Gudang dan Telekomunikasi</t>
  </si>
  <si>
    <t>Industri Kimia Dan Farmasi</t>
  </si>
  <si>
    <t>Tanaman Pangan, Perkebunan, dan Peternakan</t>
  </si>
  <si>
    <t>Perumahan, Kawasan Industri dan Perkantoran</t>
  </si>
  <si>
    <t>Perdagangan dan Reparasi</t>
  </si>
  <si>
    <t>Konstruksi</t>
  </si>
  <si>
    <t>Industri Makanan</t>
  </si>
  <si>
    <t>Industri  Mesin, Elektronik, Instrumen Kedokteran, Peralatan Listrik, Presisi, Optik dan Jam</t>
  </si>
  <si>
    <t>Kehutanan</t>
  </si>
  <si>
    <t>Perikanan</t>
  </si>
  <si>
    <t>Listrik, Gas dan Air</t>
  </si>
  <si>
    <t>Industri Karet dan Plastik</t>
  </si>
  <si>
    <t>Industri Lainnya</t>
  </si>
  <si>
    <t>Industri Kertas dan Percetakan</t>
  </si>
  <si>
    <t>Industri Logam Dasar, Barang Logam, Bukan Mesin dan Peralatannya</t>
  </si>
  <si>
    <t>Industri Kendaraan Bermotor dan Alat Transportasi Lain</t>
  </si>
  <si>
    <t>Industri Kayu</t>
  </si>
  <si>
    <t>Industri Tekstil</t>
  </si>
  <si>
    <t>PMDN</t>
  </si>
  <si>
    <t>PMA</t>
  </si>
  <si>
    <t>INVESTOR</t>
  </si>
  <si>
    <t>JML PROYEK</t>
  </si>
  <si>
    <t>REALISASI</t>
  </si>
  <si>
    <t>TW 2 2024</t>
  </si>
  <si>
    <t>TW 2 2025</t>
  </si>
  <si>
    <t>TW 1 2025</t>
  </si>
  <si>
    <t>Penyeseuaian</t>
  </si>
  <si>
    <t>Penyesuaian</t>
  </si>
  <si>
    <t>India</t>
  </si>
  <si>
    <t>Data Release Perbaikan</t>
  </si>
  <si>
    <t>Realisasi</t>
  </si>
  <si>
    <t>TOTAL</t>
  </si>
  <si>
    <t>INI YANG DIPAKAI</t>
  </si>
  <si>
    <t>Periode</t>
  </si>
  <si>
    <t>Jml Proyek</t>
  </si>
  <si>
    <t>Peringkat</t>
  </si>
  <si>
    <t>Realisasi Investasi Investor PMA</t>
  </si>
  <si>
    <t>Dipakai</t>
  </si>
  <si>
    <t>Jumlah Proyek Persektor PMDN</t>
  </si>
  <si>
    <t>Jumlah Proyek Persektor PMA</t>
  </si>
  <si>
    <t xml:space="preserve">Tambahan Tenaga Kerja Lokal PMA </t>
  </si>
  <si>
    <t>Target</t>
  </si>
  <si>
    <t>Capaian Investasi</t>
  </si>
  <si>
    <t>Realisasi Sampai Dengan TW 2</t>
  </si>
  <si>
    <t>Capaian 65,5%</t>
  </si>
  <si>
    <t>Realisasi pada periode yang sama Tahun 2024 dan 2025</t>
  </si>
  <si>
    <t>Realisasi Investasi</t>
  </si>
  <si>
    <t>%</t>
  </si>
  <si>
    <t>REALISASI INVESTASI BERDASARKAN JUMLAH SEKTOR</t>
  </si>
  <si>
    <t>No</t>
  </si>
  <si>
    <t>Jumlah</t>
  </si>
  <si>
    <t>SEKTOR</t>
  </si>
  <si>
    <t>NON UMK</t>
  </si>
  <si>
    <t>JUMLAH PROYEK</t>
  </si>
  <si>
    <t>INVESTASI</t>
  </si>
  <si>
    <t>PENJABARAN ADA DI FILE : DAFTAR PERUSAHAAN KALSEL TW II RELEASE BKPM</t>
  </si>
  <si>
    <t>% REALISASI INVESTASI</t>
  </si>
  <si>
    <t>US$</t>
  </si>
  <si>
    <t>Rupiah</t>
  </si>
  <si>
    <t>NO</t>
  </si>
  <si>
    <t>KECAMATAN</t>
  </si>
  <si>
    <t>PROYEK</t>
  </si>
  <si>
    <t>INVESTASI PMDN</t>
  </si>
  <si>
    <t>RUPIAH</t>
  </si>
  <si>
    <t>INVESTASI PMA</t>
  </si>
  <si>
    <t>Total =</t>
  </si>
  <si>
    <t>TW III per Kecamatan</t>
  </si>
  <si>
    <t>JAYA MANDIRI SUKSES</t>
  </si>
  <si>
    <t>CAHAYA ANUGRAH SARANA CATERING</t>
  </si>
  <si>
    <t>VKS DRILLTEK INDO</t>
  </si>
  <si>
    <t>TOTAL =</t>
  </si>
  <si>
    <t>BARA ASIA COALTRADE</t>
  </si>
  <si>
    <t>CIPTA KRIDA BAHARI</t>
  </si>
  <si>
    <t>DAYA INDAH ANDALAN</t>
  </si>
  <si>
    <t>WORLD TERMINALINDO</t>
  </si>
  <si>
    <t>ASDP INDONESIA FERRY</t>
  </si>
  <si>
    <t>KALIMAS KHARISMA</t>
  </si>
  <si>
    <t>SENTRA AGRO SUMBER RAYA</t>
  </si>
  <si>
    <t>TOWER BERSAMA</t>
  </si>
  <si>
    <t>TUNAS INTI ABADI</t>
  </si>
  <si>
    <t>INDOMARCO PRISMATAMA</t>
  </si>
  <si>
    <t>USAHA BARATAMA JESINDO</t>
  </si>
  <si>
    <t>ADIDAYA AKBAR BERKARYA</t>
  </si>
  <si>
    <t>ANDIFA ZAYEEN PERKASA</t>
  </si>
  <si>
    <t>GLOCHATSA TESALONIKA SENTOSA</t>
  </si>
  <si>
    <t>GRAND DUTA BORNEO</t>
  </si>
  <si>
    <t>HALONG JAYA BERGETAR</t>
  </si>
  <si>
    <t>JHONLIN MARINE LINES</t>
  </si>
  <si>
    <t>JOH SUKSES MANDIRI MOTOR</t>
  </si>
  <si>
    <t>MANDIRI AMAN SEJAHTERA</t>
  </si>
  <si>
    <t>MANDIRI AMAN SEKAWAN</t>
  </si>
  <si>
    <t xml:space="preserve"> </t>
  </si>
  <si>
    <t>PERUSAHAAN PERSEROAN (PERSERO) PT PELABUHAN INDONESIA</t>
  </si>
  <si>
    <t>TW 3 2025</t>
  </si>
  <si>
    <t>Industri Mesin, Elektronik, Instrumen Kedokteran, Peralatan Listrik, Presisi, Optik dan Jam</t>
  </si>
  <si>
    <t>RANKING</t>
  </si>
  <si>
    <t>Industri Kimia dan Farmasi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</si>
</sst>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0.0%"/>
    <numFmt numFmtId="168" formatCode="0.000%"/>
    <numFmt numFmtId="169" formatCode="#,##0.00_ ;\-#,##0.00\ "/>
    <numFmt numFmtId="170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DF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164" fontId="0" fillId="0" borderId="0" xfId="1" applyFont="1"/>
    <xf numFmtId="164" fontId="0" fillId="0" borderId="0" xfId="0" applyNumberFormat="1"/>
    <xf numFmtId="164" fontId="0" fillId="0" borderId="1" xfId="1" applyFont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wrapText="1"/>
    </xf>
    <xf numFmtId="166" fontId="4" fillId="0" borderId="1" xfId="2" applyNumberFormat="1" applyFont="1" applyBorder="1"/>
    <xf numFmtId="10" fontId="0" fillId="0" borderId="0" xfId="0" applyNumberFormat="1"/>
    <xf numFmtId="0" fontId="3" fillId="4" borderId="1" xfId="0" applyFont="1" applyFill="1" applyBorder="1"/>
    <xf numFmtId="166" fontId="4" fillId="0" borderId="1" xfId="2" quotePrefix="1" applyNumberFormat="1" applyFont="1" applyBorder="1"/>
    <xf numFmtId="166" fontId="0" fillId="0" borderId="0" xfId="0" applyNumberFormat="1"/>
    <xf numFmtId="10" fontId="3" fillId="4" borderId="1" xfId="3" applyNumberFormat="1" applyFont="1" applyFill="1" applyBorder="1" applyAlignment="1">
      <alignment wrapText="1"/>
    </xf>
    <xf numFmtId="10" fontId="4" fillId="0" borderId="1" xfId="3" applyNumberFormat="1" applyFont="1" applyBorder="1" applyAlignment="1">
      <alignment horizontal="left" wrapText="1"/>
    </xf>
    <xf numFmtId="10" fontId="0" fillId="0" borderId="0" xfId="3" applyNumberFormat="1" applyFont="1"/>
    <xf numFmtId="0" fontId="3" fillId="4" borderId="1" xfId="0" applyFont="1" applyFill="1" applyBorder="1" applyAlignment="1">
      <alignment horizontal="center" vertical="center"/>
    </xf>
    <xf numFmtId="166" fontId="3" fillId="4" borderId="1" xfId="2" applyNumberFormat="1" applyFont="1" applyFill="1" applyBorder="1" applyAlignment="1">
      <alignment horizontal="center" vertical="center"/>
    </xf>
    <xf numFmtId="166" fontId="4" fillId="0" borderId="1" xfId="2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vertical="center"/>
    </xf>
    <xf numFmtId="169" fontId="4" fillId="0" borderId="1" xfId="2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166" fontId="4" fillId="0" borderId="0" xfId="2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69" fontId="4" fillId="0" borderId="1" xfId="2" quotePrefix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70" fontId="0" fillId="0" borderId="1" xfId="1" applyNumberFormat="1" applyFont="1" applyBorder="1"/>
    <xf numFmtId="170" fontId="0" fillId="0" borderId="1" xfId="0" applyNumberFormat="1" applyBorder="1"/>
    <xf numFmtId="167" fontId="0" fillId="0" borderId="1" xfId="3" applyNumberFormat="1" applyFont="1" applyBorder="1"/>
    <xf numFmtId="3" fontId="0" fillId="0" borderId="1" xfId="0" applyNumberFormat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2" fillId="7" borderId="1" xfId="0" applyFont="1" applyFill="1" applyBorder="1"/>
    <xf numFmtId="164" fontId="2" fillId="7" borderId="1" xfId="0" applyNumberFormat="1" applyFont="1" applyFill="1" applyBorder="1"/>
    <xf numFmtId="0" fontId="0" fillId="0" borderId="6" xfId="0" applyBorder="1"/>
    <xf numFmtId="167" fontId="0" fillId="0" borderId="6" xfId="3" applyNumberFormat="1" applyFont="1" applyBorder="1"/>
    <xf numFmtId="167" fontId="2" fillId="7" borderId="1" xfId="0" applyNumberFormat="1" applyFont="1" applyFill="1" applyBorder="1"/>
    <xf numFmtId="167" fontId="0" fillId="0" borderId="1" xfId="3" applyNumberFormat="1" applyFont="1" applyBorder="1" applyAlignment="1">
      <alignment horizontal="right" vertical="center"/>
    </xf>
    <xf numFmtId="167" fontId="0" fillId="0" borderId="6" xfId="3" applyNumberFormat="1" applyFont="1" applyBorder="1" applyAlignment="1">
      <alignment horizontal="right" vertical="center"/>
    </xf>
    <xf numFmtId="9" fontId="2" fillId="7" borderId="1" xfId="0" applyNumberFormat="1" applyFont="1" applyFill="1" applyBorder="1"/>
    <xf numFmtId="0" fontId="2" fillId="7" borderId="1" xfId="0" applyFont="1" applyFill="1" applyBorder="1" applyAlignment="1">
      <alignment horizontal="right"/>
    </xf>
    <xf numFmtId="167" fontId="2" fillId="7" borderId="1" xfId="0" applyNumberFormat="1" applyFont="1" applyFill="1" applyBorder="1" applyAlignment="1">
      <alignment horizontal="right" vertical="center"/>
    </xf>
    <xf numFmtId="0" fontId="0" fillId="0" borderId="7" xfId="0" applyBorder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2" fillId="7" borderId="1" xfId="0" applyFont="1" applyFill="1" applyBorder="1" applyAlignment="1">
      <alignment horizontal="right" vertical="top"/>
    </xf>
    <xf numFmtId="164" fontId="2" fillId="7" borderId="1" xfId="0" applyNumberFormat="1" applyFont="1" applyFill="1" applyBorder="1" applyAlignment="1">
      <alignment horizontal="right"/>
    </xf>
    <xf numFmtId="0" fontId="0" fillId="8" borderId="1" xfId="0" applyFill="1" applyBorder="1" applyAlignment="1">
      <alignment vertical="top"/>
    </xf>
    <xf numFmtId="0" fontId="0" fillId="8" borderId="0" xfId="0" applyFill="1"/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164" fontId="0" fillId="8" borderId="0" xfId="1" applyFont="1" applyFill="1"/>
    <xf numFmtId="164" fontId="2" fillId="7" borderId="9" xfId="1" applyFont="1" applyFill="1" applyBorder="1"/>
    <xf numFmtId="164" fontId="2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vertical="center"/>
    </xf>
    <xf numFmtId="10" fontId="4" fillId="0" borderId="1" xfId="3" applyNumberFormat="1" applyFont="1" applyBorder="1" applyAlignment="1">
      <alignment vertical="center"/>
    </xf>
    <xf numFmtId="166" fontId="3" fillId="4" borderId="1" xfId="0" applyNumberFormat="1" applyFont="1" applyFill="1" applyBorder="1" applyAlignment="1">
      <alignment vertical="center"/>
    </xf>
    <xf numFmtId="0" fontId="2" fillId="7" borderId="7" xfId="0" applyFont="1" applyFill="1" applyBorder="1"/>
    <xf numFmtId="0" fontId="2" fillId="7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right"/>
    </xf>
    <xf numFmtId="10" fontId="4" fillId="0" borderId="6" xfId="3" applyNumberFormat="1" applyFont="1" applyBorder="1" applyAlignment="1">
      <alignment horizontal="left" wrapText="1"/>
    </xf>
    <xf numFmtId="166" fontId="4" fillId="0" borderId="6" xfId="2" quotePrefix="1" applyNumberFormat="1" applyFont="1" applyBorder="1"/>
    <xf numFmtId="10" fontId="2" fillId="4" borderId="1" xfId="3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10" fontId="4" fillId="8" borderId="1" xfId="3" applyNumberFormat="1" applyFont="1" applyFill="1" applyBorder="1" applyAlignment="1">
      <alignment vertical="center"/>
    </xf>
    <xf numFmtId="164" fontId="4" fillId="0" borderId="1" xfId="1" applyFont="1" applyBorder="1" applyAlignment="1">
      <alignment vertical="center"/>
    </xf>
    <xf numFmtId="168" fontId="4" fillId="0" borderId="1" xfId="3" applyNumberFormat="1" applyFont="1" applyBorder="1" applyAlignment="1">
      <alignment vertical="center"/>
    </xf>
    <xf numFmtId="9" fontId="4" fillId="0" borderId="1" xfId="3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7" borderId="8" xfId="0" applyFont="1" applyFill="1" applyBorder="1" applyAlignment="1">
      <alignment horizontal="right"/>
    </xf>
    <xf numFmtId="0" fontId="2" fillId="7" borderId="10" xfId="0" applyFont="1" applyFill="1" applyBorder="1" applyAlignment="1">
      <alignment horizontal="right"/>
    </xf>
    <xf numFmtId="0" fontId="2" fillId="7" borderId="8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center"/>
    </xf>
    <xf numFmtId="164" fontId="2" fillId="0" borderId="0" xfId="0" applyNumberFormat="1" applyFont="1" applyBorder="1"/>
    <xf numFmtId="166" fontId="4" fillId="0" borderId="1" xfId="2" applyNumberFormat="1" applyFont="1" applyBorder="1" applyAlignment="1">
      <alignment horizontal="center" vertical="center"/>
    </xf>
    <xf numFmtId="166" fontId="4" fillId="0" borderId="1" xfId="2" applyNumberFormat="1" applyFont="1" applyBorder="1" applyAlignment="1">
      <alignment horizontal="left" vertical="center"/>
    </xf>
    <xf numFmtId="166" fontId="3" fillId="9" borderId="1" xfId="2" applyNumberFormat="1" applyFont="1" applyFill="1" applyBorder="1" applyAlignment="1">
      <alignment horizontal="center" vertical="center"/>
    </xf>
    <xf numFmtId="0" fontId="4" fillId="8" borderId="1" xfId="3" applyNumberFormat="1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164" fontId="4" fillId="0" borderId="7" xfId="1" applyFont="1" applyBorder="1" applyAlignment="1">
      <alignment vertical="center"/>
    </xf>
    <xf numFmtId="10" fontId="4" fillId="0" borderId="7" xfId="3" applyNumberFormat="1" applyFont="1" applyBorder="1" applyAlignment="1">
      <alignment vertical="center"/>
    </xf>
    <xf numFmtId="0" fontId="3" fillId="7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6" fontId="3" fillId="9" borderId="10" xfId="2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2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Comma [0]" xfId="1" builtinId="6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8DF26"/>
      <color rgb="FFFF33CC"/>
      <color rgb="FFE0D43E"/>
      <color rgb="FFD288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'JML PROYEK'!$B$3</c:f>
              <c:strCache>
                <c:ptCount val="1"/>
                <c:pt idx="0">
                  <c:v>JML PROYEK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46050" h="127000"/>
              <a:bevelB w="127000" h="127000"/>
            </a:sp3d>
          </c:spPr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4605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CD4-4081-9002-9D51856100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46050" h="127000" prst="coolSlant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CD4-4081-9002-9D518561007A}"/>
              </c:ext>
            </c:extLst>
          </c:dPt>
          <c:dLbls>
            <c:dLbl>
              <c:idx val="0"/>
              <c:layout>
                <c:manualLayout>
                  <c:x val="0.11388888888888879"/>
                  <c:y val="9.259259259259088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D4-4081-9002-9D518561007A}"/>
                </c:ext>
              </c:extLst>
            </c:dLbl>
            <c:dLbl>
              <c:idx val="1"/>
              <c:layout>
                <c:manualLayout>
                  <c:x val="-0.12777777777777782"/>
                  <c:y val="-1.85185185185185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D4-4081-9002-9D518561007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'JML PROYEK'!$A$4:$A$5</c:f>
              <c:strCache>
                <c:ptCount val="2"/>
                <c:pt idx="0">
                  <c:v>PMDN</c:v>
                </c:pt>
                <c:pt idx="1">
                  <c:v>PMA</c:v>
                </c:pt>
              </c:strCache>
            </c:strRef>
          </c:cat>
          <c:val>
            <c:numRef>
              <c:f>'JML PROYEK'!$B$4:$B$5</c:f>
              <c:numCache>
                <c:formatCode>#,##0</c:formatCode>
                <c:ptCount val="2"/>
                <c:pt idx="0">
                  <c:v>435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4-4081-9002-9D51856100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441227538865341"/>
          <c:y val="0.1356794039603447"/>
          <c:w val="0.3711754492226933"/>
          <c:h val="0.79450288252936552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57150"/>
            </a:sp3d>
          </c:spPr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4-ED57-4FC4-8FFD-296C89D0C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6-ED57-4FC4-8FFD-296C89D0C5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7-ED57-4FC4-8FFD-296C89D0C5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C-ED57-4FC4-8FFD-296C89D0C5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8-ED57-4FC4-8FFD-296C89D0C5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3-ED57-4FC4-8FFD-296C89D0C5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9-ED57-4FC4-8FFD-296C89D0C5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2-ED57-4FC4-8FFD-296C89D0C5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1-ED57-4FC4-8FFD-296C89D0C5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A-ED57-4FC4-8FFD-296C89D0C5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5-ED57-4FC4-8FFD-296C89D0C5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7150"/>
              </a:sp3d>
            </c:spPr>
            <c:extLst>
              <c:ext xmlns:c16="http://schemas.microsoft.com/office/drawing/2014/chart" uri="{C3380CC4-5D6E-409C-BE32-E72D297353CC}">
                <c16:uniqueId val="{0000000B-ED57-4FC4-8FFD-296C89D0C5FD}"/>
              </c:ext>
            </c:extLst>
          </c:dPt>
          <c:dLbls>
            <c:dLbl>
              <c:idx val="0"/>
              <c:layout>
                <c:manualLayout>
                  <c:x val="0.11794871794871795"/>
                  <c:y val="2.9271862422246615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ED57-4FC4-8FFD-296C89D0C5FD}"/>
                </c:ext>
              </c:extLst>
            </c:dLbl>
            <c:dLbl>
              <c:idx val="1"/>
              <c:layout>
                <c:manualLayout>
                  <c:x val="5.8119658119657996E-2"/>
                  <c:y val="7.683863885839736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ED57-4FC4-8FFD-296C89D0C5FD}"/>
                </c:ext>
              </c:extLst>
            </c:dLbl>
            <c:dLbl>
              <c:idx val="2"/>
              <c:layout>
                <c:manualLayout>
                  <c:x val="3.7606837606837605E-2"/>
                  <c:y val="2.9271862422246615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ED57-4FC4-8FFD-296C89D0C5FD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C-ED57-4FC4-8FFD-296C89D0C5FD}"/>
                </c:ext>
              </c:extLst>
            </c:dLbl>
            <c:dLbl>
              <c:idx val="4"/>
              <c:layout>
                <c:manualLayout>
                  <c:x val="-2.0512820512820513E-2"/>
                  <c:y val="3.29308452250273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ED57-4FC4-8FFD-296C89D0C5FD}"/>
                </c:ext>
              </c:extLst>
            </c:dLbl>
            <c:dLbl>
              <c:idx val="5"/>
              <c:layout>
                <c:manualLayout>
                  <c:x val="3.4188034188034188E-3"/>
                  <c:y val="0.15367727771679474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ED57-4FC4-8FFD-296C89D0C5FD}"/>
                </c:ext>
              </c:extLst>
            </c:dLbl>
            <c:dLbl>
              <c:idx val="6"/>
              <c:layout>
                <c:manualLayout>
                  <c:x val="-7.3504273504273521E-2"/>
                  <c:y val="4.024881083058916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ED57-4FC4-8FFD-296C89D0C5FD}"/>
                </c:ext>
              </c:extLst>
            </c:dLbl>
            <c:dLbl>
              <c:idx val="7"/>
              <c:layout>
                <c:manualLayout>
                  <c:x val="-5.6410256410256411E-2"/>
                  <c:y val="-4.024881083058909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ED57-4FC4-8FFD-296C89D0C5FD}"/>
                </c:ext>
              </c:extLst>
            </c:dLbl>
            <c:dLbl>
              <c:idx val="8"/>
              <c:layout>
                <c:manualLayout>
                  <c:x val="-2.564102564102564E-2"/>
                  <c:y val="-0.10611050128064398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ED57-4FC4-8FFD-296C89D0C5FD}"/>
                </c:ext>
              </c:extLst>
            </c:dLbl>
            <c:dLbl>
              <c:idx val="9"/>
              <c:layout>
                <c:manualLayout>
                  <c:x val="-8.888888888888892E-2"/>
                  <c:y val="-3.6589828027808603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ED57-4FC4-8FFD-296C89D0C5FD}"/>
                </c:ext>
              </c:extLst>
            </c:dLbl>
            <c:dLbl>
              <c:idx val="10"/>
              <c:layout>
                <c:manualLayout>
                  <c:x val="-9.7435897435897492E-2"/>
                  <c:y val="1.829491401390413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ED57-4FC4-8FFD-296C89D0C5FD}"/>
                </c:ext>
              </c:extLst>
            </c:dLbl>
            <c:dLbl>
              <c:idx val="11"/>
              <c:layout>
                <c:manualLayout>
                  <c:x val="-1.7094017094017094E-3"/>
                  <c:y val="-1.4635931211123309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ED57-4FC4-8FFD-296C89D0C5F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'PROYEK PMDN perkecamatan'!$A$3:$A$14</c:f>
              <c:strCache>
                <c:ptCount val="12"/>
                <c:pt idx="0">
                  <c:v>Kusan Hulu</c:v>
                </c:pt>
                <c:pt idx="1">
                  <c:v>Simpang Empat</c:v>
                </c:pt>
                <c:pt idx="2">
                  <c:v>Sungai Loban</c:v>
                </c:pt>
                <c:pt idx="3">
                  <c:v>Angsana</c:v>
                </c:pt>
                <c:pt idx="4">
                  <c:v>Satui</c:v>
                </c:pt>
                <c:pt idx="5">
                  <c:v>Kusan Tengah</c:v>
                </c:pt>
                <c:pt idx="6">
                  <c:v>Karang Bintang</c:v>
                </c:pt>
                <c:pt idx="7">
                  <c:v>Teluk Kepayang</c:v>
                </c:pt>
                <c:pt idx="8">
                  <c:v>Kusan Hilir</c:v>
                </c:pt>
                <c:pt idx="9">
                  <c:v>Batulicin</c:v>
                </c:pt>
                <c:pt idx="10">
                  <c:v>Mantewe</c:v>
                </c:pt>
                <c:pt idx="11">
                  <c:v>Kuranji</c:v>
                </c:pt>
              </c:strCache>
            </c:strRef>
          </c:cat>
          <c:val>
            <c:numRef>
              <c:f>'PROYEK PMDN perkecamatan'!$B$3:$B$14</c:f>
              <c:numCache>
                <c:formatCode>General</c:formatCode>
                <c:ptCount val="12"/>
                <c:pt idx="0">
                  <c:v>4</c:v>
                </c:pt>
                <c:pt idx="1">
                  <c:v>160</c:v>
                </c:pt>
                <c:pt idx="2">
                  <c:v>7</c:v>
                </c:pt>
                <c:pt idx="3">
                  <c:v>79</c:v>
                </c:pt>
                <c:pt idx="4">
                  <c:v>55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  <c:pt idx="8">
                  <c:v>15</c:v>
                </c:pt>
                <c:pt idx="9">
                  <c:v>78</c:v>
                </c:pt>
                <c:pt idx="10">
                  <c:v>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7-4FC4-8FFD-296C89D0C5F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25400"/>
            </a:sp3d>
          </c:spPr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8-0C6C-47A7-8B8D-4B93AADBEBEF}"/>
              </c:ext>
            </c:extLst>
          </c:dPt>
          <c:dPt>
            <c:idx val="1"/>
            <c:bubble3D val="0"/>
            <c:explosion val="2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7-0C6C-47A7-8B8D-4B93AADBEBEF}"/>
              </c:ext>
            </c:extLst>
          </c:dPt>
          <c:dPt>
            <c:idx val="2"/>
            <c:bubble3D val="0"/>
            <c:explosion val="2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6-0C6C-47A7-8B8D-4B93AADBEBEF}"/>
              </c:ext>
            </c:extLst>
          </c:dPt>
          <c:dPt>
            <c:idx val="3"/>
            <c:bubble3D val="0"/>
            <c:explosion val="2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5-0C6C-47A7-8B8D-4B93AADBEBEF}"/>
              </c:ext>
            </c:extLst>
          </c:dPt>
          <c:dPt>
            <c:idx val="4"/>
            <c:bubble3D val="0"/>
            <c:explosion val="2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C-0C6C-47A7-8B8D-4B93AADBEB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4-0C6C-47A7-8B8D-4B93AADBEB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3-0C6C-47A7-8B8D-4B93AADBEBEF}"/>
              </c:ext>
            </c:extLst>
          </c:dPt>
          <c:dPt>
            <c:idx val="7"/>
            <c:bubble3D val="0"/>
            <c:explosion val="2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2-0C6C-47A7-8B8D-4B93AADBEBE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1-0C6C-47A7-8B8D-4B93AADBEBE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B-0C6C-47A7-8B8D-4B93AADBEBE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9-0C6C-47A7-8B8D-4B93AADBEBE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A-0C6C-47A7-8B8D-4B93AADBEBEF}"/>
              </c:ext>
            </c:extLst>
          </c:dPt>
          <c:dLbls>
            <c:dLbl>
              <c:idx val="0"/>
              <c:layout>
                <c:manualLayout>
                  <c:x val="5.0571661655306958E-2"/>
                  <c:y val="-1.02833369725370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6C-47A7-8B8D-4B93AADBEBEF}"/>
                </c:ext>
              </c:extLst>
            </c:dLbl>
            <c:dLbl>
              <c:idx val="1"/>
              <c:layout>
                <c:manualLayout>
                  <c:x val="9.5757429886548812E-2"/>
                  <c:y val="-1.35494435527122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6C-47A7-8B8D-4B93AADBEBEF}"/>
                </c:ext>
              </c:extLst>
            </c:dLbl>
            <c:dLbl>
              <c:idx val="2"/>
              <c:layout>
                <c:manualLayout>
                  <c:x val="8.0692156051641886E-2"/>
                  <c:y val="-8.9032375777424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6C-47A7-8B8D-4B93AADBEBEF}"/>
                </c:ext>
              </c:extLst>
            </c:dLbl>
            <c:dLbl>
              <c:idx val="3"/>
              <c:layout>
                <c:manualLayout>
                  <c:x val="0.10128155582094883"/>
                  <c:y val="-1.72735769791442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6C-47A7-8B8D-4B93AADBEBEF}"/>
                </c:ext>
              </c:extLst>
            </c:dLbl>
            <c:dLbl>
              <c:idx val="4"/>
              <c:layout>
                <c:manualLayout>
                  <c:x val="0.12767657318206507"/>
                  <c:y val="1.02833369725368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6C-47A7-8B8D-4B93AADBEBEF}"/>
                </c:ext>
              </c:extLst>
            </c:dLbl>
            <c:dLbl>
              <c:idx val="5"/>
              <c:layout>
                <c:manualLayout>
                  <c:x val="0.13865090392234378"/>
                  <c:y val="4.81235878967551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6C-47A7-8B8D-4B93AADBEBEF}"/>
                </c:ext>
              </c:extLst>
            </c:dLbl>
            <c:dLbl>
              <c:idx val="6"/>
              <c:layout>
                <c:manualLayout>
                  <c:x val="-2.4428567500191525E-2"/>
                  <c:y val="6.50379228415045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6C-47A7-8B8D-4B93AADBEBEF}"/>
                </c:ext>
              </c:extLst>
            </c:dLbl>
            <c:dLbl>
              <c:idx val="7"/>
              <c:layout>
                <c:manualLayout>
                  <c:x val="-0.12546816479400755"/>
                  <c:y val="2.05128205128205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6C-47A7-8B8D-4B93AADBEBEF}"/>
                </c:ext>
              </c:extLst>
            </c:dLbl>
            <c:dLbl>
              <c:idx val="8"/>
              <c:layout>
                <c:manualLayout>
                  <c:x val="-0.14794007490636707"/>
                  <c:y val="-1.02564102564102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6C-47A7-8B8D-4B93AADBEBEF}"/>
                </c:ext>
              </c:extLst>
            </c:dLbl>
            <c:dLbl>
              <c:idx val="9"/>
              <c:layout>
                <c:manualLayout>
                  <c:x val="-4.8733538873495234E-2"/>
                  <c:y val="-2.76824192454406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6C-47A7-8B8D-4B93AADBEBEF}"/>
                </c:ext>
              </c:extLst>
            </c:dLbl>
            <c:dLbl>
              <c:idx val="10"/>
              <c:layout>
                <c:manualLayout>
                  <c:x val="-0.151685393258427"/>
                  <c:y val="2.39316239316239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6C-47A7-8B8D-4B93AADBEBEF}"/>
                </c:ext>
              </c:extLst>
            </c:dLbl>
            <c:dLbl>
              <c:idx val="11"/>
              <c:layout>
                <c:manualLayout>
                  <c:x val="2.8163949966631935E-2"/>
                  <c:y val="-2.39315653371112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6C-47A7-8B8D-4B93AADBEBE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'PROYEK PMDN perkecamatan'!$A$20:$A$31</c:f>
              <c:strCache>
                <c:ptCount val="12"/>
                <c:pt idx="0">
                  <c:v>Angsana</c:v>
                </c:pt>
                <c:pt idx="1">
                  <c:v>Batulicin</c:v>
                </c:pt>
                <c:pt idx="2">
                  <c:v>Karang Bintang</c:v>
                </c:pt>
                <c:pt idx="3">
                  <c:v>Kuranji</c:v>
                </c:pt>
                <c:pt idx="4">
                  <c:v>Kusan Hilir</c:v>
                </c:pt>
                <c:pt idx="5">
                  <c:v>Kusan Hulu</c:v>
                </c:pt>
                <c:pt idx="6">
                  <c:v>Kusan Tengah</c:v>
                </c:pt>
                <c:pt idx="7">
                  <c:v>Mantewe</c:v>
                </c:pt>
                <c:pt idx="8">
                  <c:v>Satui</c:v>
                </c:pt>
                <c:pt idx="9">
                  <c:v>Simpang Empat</c:v>
                </c:pt>
                <c:pt idx="10">
                  <c:v>Sungai Loban</c:v>
                </c:pt>
                <c:pt idx="11">
                  <c:v>Teluk Kepayang</c:v>
                </c:pt>
              </c:strCache>
            </c:strRef>
          </c:cat>
          <c:val>
            <c:numRef>
              <c:f>'PROYEK PMDN perkecamatan'!$B$20:$B$31</c:f>
              <c:numCache>
                <c:formatCode>General</c:formatCode>
                <c:ptCount val="12"/>
                <c:pt idx="0">
                  <c:v>79</c:v>
                </c:pt>
                <c:pt idx="1">
                  <c:v>78</c:v>
                </c:pt>
                <c:pt idx="2">
                  <c:v>4</c:v>
                </c:pt>
                <c:pt idx="3">
                  <c:v>0</c:v>
                </c:pt>
                <c:pt idx="4">
                  <c:v>15</c:v>
                </c:pt>
                <c:pt idx="5">
                  <c:v>4</c:v>
                </c:pt>
                <c:pt idx="6">
                  <c:v>6</c:v>
                </c:pt>
                <c:pt idx="7">
                  <c:v>15</c:v>
                </c:pt>
                <c:pt idx="8">
                  <c:v>55</c:v>
                </c:pt>
                <c:pt idx="9">
                  <c:v>160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C-47A7-8B8D-4B93AADBEB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84089312779564"/>
          <c:y val="0.14407200768424527"/>
          <c:w val="0.50231821374440866"/>
          <c:h val="0.79342810179873235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50800" prst="coolSlant"/>
              <a:bevelB w="31750"/>
            </a:sp3d>
          </c:spPr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0800" prst="coolSlant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6-E00E-4FB9-BD50-41DFAAD79C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0800" prst="coolSlant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3-E00E-4FB9-BD50-41DFAAD79C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0800" prst="coolSlant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4-E00E-4FB9-BD50-41DFAAD79C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0800" prst="coolSlant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5-E00E-4FB9-BD50-41DFAAD79C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0800" prst="coolSlant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1-E00E-4FB9-BD50-41DFAAD79C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0800" prst="coolSlant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2-E00E-4FB9-BD50-41DFAAD79C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50800" prst="coolSlant"/>
                <a:bevelB w="31750"/>
              </a:sp3d>
            </c:spPr>
            <c:extLst>
              <c:ext xmlns:c16="http://schemas.microsoft.com/office/drawing/2014/chart" uri="{C3380CC4-5D6E-409C-BE32-E72D297353CC}">
                <c16:uniqueId val="{00000007-E00E-4FB9-BD50-41DFAAD79C25}"/>
              </c:ext>
            </c:extLst>
          </c:dPt>
          <c:dLbls>
            <c:dLbl>
              <c:idx val="0"/>
              <c:layout>
                <c:manualLayout>
                  <c:x val="0.16944444444444434"/>
                  <c:y val="4.629629629629629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0E-4FB9-BD50-41DFAAD79C25}"/>
                </c:ext>
              </c:extLst>
            </c:dLbl>
            <c:dLbl>
              <c:idx val="1"/>
              <c:layout>
                <c:manualLayout>
                  <c:x val="5.6134006033982713E-2"/>
                  <c:y val="-1.675317580529759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Batulicin;  </a:t>
                    </a:r>
                    <a:fld id="{1EE77EE4-4E97-4EA4-8146-D4E47F8991D5}" type="VALU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00E-4FB9-BD50-41DFAAD79C25}"/>
                </c:ext>
              </c:extLst>
            </c:dLbl>
            <c:dLbl>
              <c:idx val="2"/>
              <c:layout>
                <c:manualLayout>
                  <c:x val="5.833333333333323E-2"/>
                  <c:y val="-1.38888888888889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0E-4FB9-BD50-41DFAAD79C25}"/>
                </c:ext>
              </c:extLst>
            </c:dLbl>
            <c:dLbl>
              <c:idx val="3"/>
              <c:layout>
                <c:manualLayout>
                  <c:x val="1.9430975278114004E-2"/>
                  <c:y val="2.05824429725755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0E-4FB9-BD50-41DFAAD79C25}"/>
                </c:ext>
              </c:extLst>
            </c:dLbl>
            <c:dLbl>
              <c:idx val="4"/>
              <c:layout>
                <c:manualLayout>
                  <c:x val="-6.1111111111111109E-2"/>
                  <c:y val="-1.38888888888888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0E-4FB9-BD50-41DFAAD79C25}"/>
                </c:ext>
              </c:extLst>
            </c:dLbl>
            <c:dLbl>
              <c:idx val="5"/>
              <c:layout>
                <c:manualLayout>
                  <c:x val="-9.4143053142234506E-2"/>
                  <c:y val="-4.70650180758692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0E-4FB9-BD50-41DFAAD79C25}"/>
                </c:ext>
              </c:extLst>
            </c:dLbl>
            <c:dLbl>
              <c:idx val="6"/>
              <c:layout>
                <c:manualLayout>
                  <c:x val="8.3633838975610955E-2"/>
                  <c:y val="-4.59827245226234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241673135928428"/>
                      <c:h val="9.09009483965692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00E-4FB9-BD50-41DFAAD79C2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'PMA perkecamatan'!$A$15:$A$21</c:f>
              <c:strCache>
                <c:ptCount val="7"/>
                <c:pt idx="0">
                  <c:v>Angsana</c:v>
                </c:pt>
                <c:pt idx="1">
                  <c:v>Batu Licin</c:v>
                </c:pt>
                <c:pt idx="2">
                  <c:v>Mantewe</c:v>
                </c:pt>
                <c:pt idx="3">
                  <c:v>Satui</c:v>
                </c:pt>
                <c:pt idx="4">
                  <c:v>Simpang Empat</c:v>
                </c:pt>
                <c:pt idx="5">
                  <c:v>Sungai Loban</c:v>
                </c:pt>
                <c:pt idx="6">
                  <c:v>Teluk Kepayang</c:v>
                </c:pt>
              </c:strCache>
            </c:strRef>
          </c:cat>
          <c:val>
            <c:numRef>
              <c:f>'PMA perkecamatan'!$B$15:$B$21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E-4FB9-BD50-41DFAAD79C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805555555555555"/>
          <c:y val="0.15046296296296297"/>
          <c:w val="0.44166666666666671"/>
          <c:h val="0.73611111111111116"/>
        </c:manualLayout>
      </c:layout>
      <c:pieChart>
        <c:varyColors val="1"/>
        <c:ser>
          <c:idx val="0"/>
          <c:order val="0"/>
          <c:tx>
            <c:strRef>
              <c:f>'PMA perkecamatan'!$B$36</c:f>
              <c:strCache>
                <c:ptCount val="1"/>
                <c:pt idx="0">
                  <c:v>Jml Proyek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7-CA08-4A6C-AF7C-BF0BFDBC8EB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B-CA08-4A6C-AF7C-BF0BFDBC8EB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A-CA08-4A6C-AF7C-BF0BFDBC8EB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9-CA08-4A6C-AF7C-BF0BFDBC8EB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C-CA08-4A6C-AF7C-BF0BFDBC8EB8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CA08-4A6C-AF7C-BF0BFDBC8EB8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2-CA08-4A6C-AF7C-BF0BFDBC8EB8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CA08-4A6C-AF7C-BF0BFDBC8EB8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4-CA08-4A6C-AF7C-BF0BFDBC8EB8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5-CA08-4A6C-AF7C-BF0BFDBC8E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6-CA08-4A6C-AF7C-BF0BFDBC8EB8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8-CA08-4A6C-AF7C-BF0BFDBC8EB8}"/>
              </c:ext>
            </c:extLst>
          </c:dPt>
          <c:dLbls>
            <c:dLbl>
              <c:idx val="0"/>
              <c:layout>
                <c:manualLayout>
                  <c:x val="0.10827630410289159"/>
                  <c:y val="-7.34158967336155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08-4A6C-AF7C-BF0BFDBC8EB8}"/>
                </c:ext>
              </c:extLst>
            </c:dLbl>
            <c:dLbl>
              <c:idx val="1"/>
              <c:layout>
                <c:manualLayout>
                  <c:x val="7.8380589495367317E-2"/>
                  <c:y val="-1.46813179085604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08-4A6C-AF7C-BF0BFDBC8EB8}"/>
                </c:ext>
              </c:extLst>
            </c:dLbl>
            <c:dLbl>
              <c:idx val="2"/>
              <c:layout>
                <c:manualLayout>
                  <c:x val="0.10251647435468053"/>
                  <c:y val="-0.104683145737423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08-4A6C-AF7C-BF0BFDBC8EB8}"/>
                </c:ext>
              </c:extLst>
            </c:dLbl>
            <c:dLbl>
              <c:idx val="3"/>
              <c:layout>
                <c:manualLayout>
                  <c:x val="0.17411182430549771"/>
                  <c:y val="-6.369996512388775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08-4A6C-AF7C-BF0BFDBC8EB8}"/>
                </c:ext>
              </c:extLst>
            </c:dLbl>
            <c:dLbl>
              <c:idx val="4"/>
              <c:layout>
                <c:manualLayout>
                  <c:x val="9.9128392597082282E-2"/>
                  <c:y val="5.25339214788505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A08-4A6C-AF7C-BF0BFDBC8EB8}"/>
                </c:ext>
              </c:extLst>
            </c:dLbl>
            <c:dLbl>
              <c:idx val="5"/>
              <c:layout>
                <c:manualLayout>
                  <c:x val="9.9641551296719547E-2"/>
                  <c:y val="8.62202644948509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08-4A6C-AF7C-BF0BFDBC8EB8}"/>
                </c:ext>
              </c:extLst>
            </c:dLbl>
            <c:dLbl>
              <c:idx val="6"/>
              <c:layout>
                <c:manualLayout>
                  <c:x val="3.1541198729283279E-2"/>
                  <c:y val="0.124768063512270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08-4A6C-AF7C-BF0BFDBC8EB8}"/>
                </c:ext>
              </c:extLst>
            </c:dLbl>
            <c:dLbl>
              <c:idx val="7"/>
              <c:layout>
                <c:manualLayout>
                  <c:x val="-0.18163077006297132"/>
                  <c:y val="8.88156780663379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08-4A6C-AF7C-BF0BFDBC8EB8}"/>
                </c:ext>
              </c:extLst>
            </c:dLbl>
            <c:dLbl>
              <c:idx val="8"/>
              <c:layout>
                <c:manualLayout>
                  <c:x val="-0.19699412799052898"/>
                  <c:y val="6.237627576378953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08-4A6C-AF7C-BF0BFDBC8EB8}"/>
                </c:ext>
              </c:extLst>
            </c:dLbl>
            <c:dLbl>
              <c:idx val="9"/>
              <c:layout>
                <c:manualLayout>
                  <c:x val="-5.8162281946125778E-2"/>
                  <c:y val="-4.45535224227031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08-4A6C-AF7C-BF0BFDBC8EB8}"/>
                </c:ext>
              </c:extLst>
            </c:dLbl>
            <c:dLbl>
              <c:idx val="10"/>
              <c:layout>
                <c:manualLayout>
                  <c:x val="-0.10412184242669791"/>
                  <c:y val="-7.11495957706056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08-4A6C-AF7C-BF0BFDBC8EB8}"/>
                </c:ext>
              </c:extLst>
            </c:dLbl>
            <c:dLbl>
              <c:idx val="11"/>
              <c:layout>
                <c:manualLayout>
                  <c:x val="6.0638585794888636E-2"/>
                  <c:y val="-8.34304340485995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08-4A6C-AF7C-BF0BFDBC8EB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'PMA perkecamatan'!$A$37:$A$48</c:f>
              <c:strCache>
                <c:ptCount val="12"/>
                <c:pt idx="0">
                  <c:v>Angsana</c:v>
                </c:pt>
                <c:pt idx="1">
                  <c:v>Batulicin</c:v>
                </c:pt>
                <c:pt idx="2">
                  <c:v>Karang Bintang</c:v>
                </c:pt>
                <c:pt idx="3">
                  <c:v>Kuranji</c:v>
                </c:pt>
                <c:pt idx="4">
                  <c:v>Kusan Hilir</c:v>
                </c:pt>
                <c:pt idx="5">
                  <c:v>Kusan Hulu</c:v>
                </c:pt>
                <c:pt idx="6">
                  <c:v>Kusan Tengah</c:v>
                </c:pt>
                <c:pt idx="7">
                  <c:v>Mantewe</c:v>
                </c:pt>
                <c:pt idx="8">
                  <c:v>Satui</c:v>
                </c:pt>
                <c:pt idx="9">
                  <c:v>Simpang Empat</c:v>
                </c:pt>
                <c:pt idx="10">
                  <c:v>Sungai Loban</c:v>
                </c:pt>
                <c:pt idx="11">
                  <c:v>Teluk Kepayang</c:v>
                </c:pt>
              </c:strCache>
            </c:strRef>
          </c:cat>
          <c:val>
            <c:numRef>
              <c:f>'PMA perkecamatan'!$B$37:$B$48</c:f>
              <c:numCache>
                <c:formatCode>General</c:formatCode>
                <c:ptCount val="12"/>
                <c:pt idx="0">
                  <c:v>81</c:v>
                </c:pt>
                <c:pt idx="1">
                  <c:v>80</c:v>
                </c:pt>
                <c:pt idx="2">
                  <c:v>4</c:v>
                </c:pt>
                <c:pt idx="3">
                  <c:v>0</c:v>
                </c:pt>
                <c:pt idx="4">
                  <c:v>15</c:v>
                </c:pt>
                <c:pt idx="5">
                  <c:v>4</c:v>
                </c:pt>
                <c:pt idx="6">
                  <c:v>6</c:v>
                </c:pt>
                <c:pt idx="7">
                  <c:v>18</c:v>
                </c:pt>
                <c:pt idx="8">
                  <c:v>58</c:v>
                </c:pt>
                <c:pt idx="9">
                  <c:v>168</c:v>
                </c:pt>
                <c:pt idx="10">
                  <c:v>7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8-4A6C-AF7C-BF0BFDBC8E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PMA</a:t>
            </a:r>
          </a:p>
        </c:rich>
      </c:tx>
      <c:layout>
        <c:manualLayout>
          <c:xMode val="edge"/>
          <c:yMode val="edge"/>
          <c:x val="0.83315879484913624"/>
          <c:y val="3.61961171437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611865099777102"/>
          <c:y val="0.25006153599013353"/>
          <c:w val="0.63348017427469805"/>
          <c:h val="0.74666863581835097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89C-426C-AE24-BAD6A08E9B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2-589C-426C-AE24-BAD6A08E9B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89C-426C-AE24-BAD6A08E9B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4-589C-426C-AE24-BAD6A08E9B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89C-426C-AE24-BAD6A08E9B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6-589C-426C-AE24-BAD6A08E9B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89C-426C-AE24-BAD6A08E9B35}"/>
              </c:ext>
            </c:extLst>
          </c:dPt>
          <c:dLbls>
            <c:dLbl>
              <c:idx val="0"/>
              <c:layout>
                <c:manualLayout>
                  <c:x val="0.32663316582914576"/>
                  <c:y val="9.871668311944718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9C-426C-AE24-BAD6A08E9B35}"/>
                </c:ext>
              </c:extLst>
            </c:dLbl>
            <c:dLbl>
              <c:idx val="1"/>
              <c:layout>
                <c:manualLayout>
                  <c:x val="0.1954215522054718"/>
                  <c:y val="6.91016781836130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9C-426C-AE24-BAD6A08E9B35}"/>
                </c:ext>
              </c:extLst>
            </c:dLbl>
            <c:dLbl>
              <c:idx val="2"/>
              <c:layout>
                <c:manualLayout>
                  <c:x val="0.11446119486320482"/>
                  <c:y val="-0.259953932214544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9C-426C-AE24-BAD6A08E9B35}"/>
                </c:ext>
              </c:extLst>
            </c:dLbl>
            <c:dLbl>
              <c:idx val="3"/>
              <c:layout>
                <c:manualLayout>
                  <c:x val="-0.31267448352875488"/>
                  <c:y val="-6.581112207963145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9C-426C-AE24-BAD6A08E9B35}"/>
                </c:ext>
              </c:extLst>
            </c:dLbl>
            <c:dLbl>
              <c:idx val="4"/>
              <c:layout>
                <c:manualLayout>
                  <c:x val="-0.27917364600781686"/>
                  <c:y val="-8.55544587035208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9C-426C-AE24-BAD6A08E9B35}"/>
                </c:ext>
              </c:extLst>
            </c:dLbl>
            <c:dLbl>
              <c:idx val="5"/>
              <c:layout>
                <c:manualLayout>
                  <c:x val="-5.0251256281407086E-2"/>
                  <c:y val="-9.87166831194471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9C-426C-AE24-BAD6A08E9B35}"/>
                </c:ext>
              </c:extLst>
            </c:dLbl>
            <c:dLbl>
              <c:idx val="6"/>
              <c:layout>
                <c:manualLayout>
                  <c:x val="0.19821328866554996"/>
                  <c:y val="-7.23922342875946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9C-426C-AE24-BAD6A08E9B3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 LOKASI'!$F$21:$F$27</c:f>
              <c:strCache>
                <c:ptCount val="7"/>
                <c:pt idx="0">
                  <c:v>Angsana</c:v>
                </c:pt>
                <c:pt idx="1">
                  <c:v>Batu Licin</c:v>
                </c:pt>
                <c:pt idx="2">
                  <c:v>Mantewe</c:v>
                </c:pt>
                <c:pt idx="3">
                  <c:v>Satui</c:v>
                </c:pt>
                <c:pt idx="4">
                  <c:v>Simpang Empat</c:v>
                </c:pt>
                <c:pt idx="5">
                  <c:v>Sungai Loban</c:v>
                </c:pt>
                <c:pt idx="6">
                  <c:v>Teluk Kepayang</c:v>
                </c:pt>
              </c:strCache>
            </c:strRef>
          </c:cat>
          <c:val>
            <c:numRef>
              <c:f>'INVEST LOKASI'!$G$21:$G$27</c:f>
              <c:numCache>
                <c:formatCode>0.0%</c:formatCode>
                <c:ptCount val="7"/>
                <c:pt idx="0">
                  <c:v>0</c:v>
                </c:pt>
                <c:pt idx="1">
                  <c:v>1.2682170744720479E-2</c:v>
                </c:pt>
                <c:pt idx="2">
                  <c:v>0.46066396675682308</c:v>
                </c:pt>
                <c:pt idx="3">
                  <c:v>0.12028048676472346</c:v>
                </c:pt>
                <c:pt idx="4">
                  <c:v>0.406373375733733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C-426C-AE24-BAD6A08E9B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25259013675926"/>
          <c:y val="0.17289537289899481"/>
          <c:w val="0.53802113551595532"/>
          <c:h val="0.75233866235901758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737E-4767-B52D-7DDF28E16C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4-737E-4767-B52D-7DDF28E16C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5-737E-4767-B52D-7DDF28E16C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7-737E-4767-B52D-7DDF28E16C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6-737E-4767-B52D-7DDF28E16C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2-737E-4767-B52D-7DDF28E16C2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737E-4767-B52D-7DDF28E16C2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8-737E-4767-B52D-7DDF28E16C2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B-737E-4767-B52D-7DDF28E16C2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9-737E-4767-B52D-7DDF28E16C2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A-737E-4767-B52D-7DDF28E16C2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C-737E-4767-B52D-7DDF28E16C22}"/>
              </c:ext>
            </c:extLst>
          </c:dPt>
          <c:dLbls>
            <c:dLbl>
              <c:idx val="0"/>
              <c:layout>
                <c:manualLayout>
                  <c:x val="-0.125"/>
                  <c:y val="-5.8264336093222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7E-4767-B52D-7DDF28E16C22}"/>
                </c:ext>
              </c:extLst>
            </c:dLbl>
            <c:dLbl>
              <c:idx val="1"/>
              <c:layout>
                <c:manualLayout>
                  <c:x val="-6.3596491228070262E-2"/>
                  <c:y val="-0.128794848206071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7E-4767-B52D-7DDF28E16C22}"/>
                </c:ext>
              </c:extLst>
            </c:dLbl>
            <c:dLbl>
              <c:idx val="2"/>
              <c:layout>
                <c:manualLayout>
                  <c:x val="3.9473684210526314E-2"/>
                  <c:y val="-0.11346212818153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7E-4767-B52D-7DDF28E16C22}"/>
                </c:ext>
              </c:extLst>
            </c:dLbl>
            <c:dLbl>
              <c:idx val="3"/>
              <c:layout>
                <c:manualLayout>
                  <c:x val="6.5789473684210523E-2"/>
                  <c:y val="-7.35970561177553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7E-4767-B52D-7DDF28E16C22}"/>
                </c:ext>
              </c:extLst>
            </c:dLbl>
            <c:dLbl>
              <c:idx val="4"/>
              <c:layout>
                <c:manualLayout>
                  <c:x val="7.6754385964912283E-2"/>
                  <c:y val="-3.06654400490647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7E-4767-B52D-7DDF28E16C22}"/>
                </c:ext>
              </c:extLst>
            </c:dLbl>
            <c:dLbl>
              <c:idx val="5"/>
              <c:layout>
                <c:manualLayout>
                  <c:x val="6.798245614035088E-2"/>
                  <c:y val="6.439742410303582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7E-4767-B52D-7DDF28E16C22}"/>
                </c:ext>
              </c:extLst>
            </c:dLbl>
            <c:dLbl>
              <c:idx val="6"/>
              <c:layout>
                <c:manualLayout>
                  <c:x val="6.5789473684210523E-2"/>
                  <c:y val="0.137994480220791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7E-4767-B52D-7DDF28E16C22}"/>
                </c:ext>
              </c:extLst>
            </c:dLbl>
            <c:dLbl>
              <c:idx val="7"/>
              <c:layout>
                <c:manualLayout>
                  <c:x val="1.3157894736842105E-2"/>
                  <c:y val="3.98650720637841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7E-4767-B52D-7DDF28E16C22}"/>
                </c:ext>
              </c:extLst>
            </c:dLbl>
            <c:dLbl>
              <c:idx val="8"/>
              <c:layout>
                <c:manualLayout>
                  <c:x val="0.1337719298245614"/>
                  <c:y val="3.06654400490658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7E-4767-B52D-7DDF28E16C22}"/>
                </c:ext>
              </c:extLst>
            </c:dLbl>
            <c:dLbl>
              <c:idx val="9"/>
              <c:layout>
                <c:manualLayout>
                  <c:x val="-6.5789473684210731E-3"/>
                  <c:y val="2.14658080343452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7E-4767-B52D-7DDF28E16C22}"/>
                </c:ext>
              </c:extLst>
            </c:dLbl>
            <c:dLbl>
              <c:idx val="10"/>
              <c:layout>
                <c:manualLayout>
                  <c:x val="-1.256381685001973E-18"/>
                  <c:y val="-3.98650720637841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7E-4767-B52D-7DDF28E16C2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737E-4767-B52D-7DDF28E16C2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2">
                      <a:lumMod val="7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 LOKASI'!$B$21:$B$32</c:f>
              <c:strCache>
                <c:ptCount val="12"/>
                <c:pt idx="0">
                  <c:v>Angsana</c:v>
                </c:pt>
                <c:pt idx="1">
                  <c:v>Batu Licin</c:v>
                </c:pt>
                <c:pt idx="2">
                  <c:v>Karang Bintang</c:v>
                </c:pt>
                <c:pt idx="3">
                  <c:v>Kuranji</c:v>
                </c:pt>
                <c:pt idx="4">
                  <c:v>Kusan Hilir</c:v>
                </c:pt>
                <c:pt idx="5">
                  <c:v>Kusan Hulu</c:v>
                </c:pt>
                <c:pt idx="6">
                  <c:v>Kusan Tengah</c:v>
                </c:pt>
                <c:pt idx="7">
                  <c:v>Mantewe</c:v>
                </c:pt>
                <c:pt idx="8">
                  <c:v>Satui</c:v>
                </c:pt>
                <c:pt idx="9">
                  <c:v>Simpang Empat</c:v>
                </c:pt>
                <c:pt idx="10">
                  <c:v>Sungai Loban</c:v>
                </c:pt>
                <c:pt idx="11">
                  <c:v>Teluk Kepayang</c:v>
                </c:pt>
              </c:strCache>
            </c:strRef>
          </c:cat>
          <c:val>
            <c:numRef>
              <c:f>'INVEST LOKASI'!$C$21:$C$32</c:f>
              <c:numCache>
                <c:formatCode>0.0%</c:formatCode>
                <c:ptCount val="12"/>
                <c:pt idx="0">
                  <c:v>5.8145917116904693E-2</c:v>
                </c:pt>
                <c:pt idx="1">
                  <c:v>0.13771761616242917</c:v>
                </c:pt>
                <c:pt idx="2">
                  <c:v>6.3727160259598008E-4</c:v>
                </c:pt>
                <c:pt idx="3">
                  <c:v>0</c:v>
                </c:pt>
                <c:pt idx="4">
                  <c:v>3.8685913117589993E-4</c:v>
                </c:pt>
                <c:pt idx="5">
                  <c:v>9.2808939140925639E-3</c:v>
                </c:pt>
                <c:pt idx="6">
                  <c:v>5.620284877877503E-4</c:v>
                </c:pt>
                <c:pt idx="7">
                  <c:v>5.0215146721372408E-2</c:v>
                </c:pt>
                <c:pt idx="8">
                  <c:v>0.16961315790195716</c:v>
                </c:pt>
                <c:pt idx="9">
                  <c:v>0.48292399783581802</c:v>
                </c:pt>
                <c:pt idx="10">
                  <c:v>1.2388338153384295E-2</c:v>
                </c:pt>
                <c:pt idx="11">
                  <c:v>7.8128772972482066E-2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E-4767-B52D-7DDF28E16C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accent1">
          <a:alpha val="14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14-48A0-A952-D1903297D1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4-48A0-A952-D1903297D1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4-48A0-A952-D1903297D1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14-48A0-A952-D1903297D1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14-48A0-A952-D1903297D1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14-48A0-A952-D1903297D1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14-48A0-A952-D1903297D1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14-48A0-A952-D1903297D1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F14-48A0-A952-D1903297D1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F14-48A0-A952-D1903297D1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F14-48A0-A952-D1903297D1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F14-48A0-A952-D1903297D1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 LOKASI PMDN'!$A$4:$A$15</c:f>
              <c:strCache>
                <c:ptCount val="12"/>
                <c:pt idx="0">
                  <c:v>Angsana</c:v>
                </c:pt>
                <c:pt idx="1">
                  <c:v>Batulicin</c:v>
                </c:pt>
                <c:pt idx="2">
                  <c:v>Karang Bintang</c:v>
                </c:pt>
                <c:pt idx="3">
                  <c:v>Kuranji</c:v>
                </c:pt>
                <c:pt idx="4">
                  <c:v>Kusan Hilir</c:v>
                </c:pt>
                <c:pt idx="5">
                  <c:v>Kusan Hulu</c:v>
                </c:pt>
                <c:pt idx="6">
                  <c:v>Kusan Tengah</c:v>
                </c:pt>
                <c:pt idx="7">
                  <c:v>Mantewe</c:v>
                </c:pt>
                <c:pt idx="8">
                  <c:v>Satui</c:v>
                </c:pt>
                <c:pt idx="9">
                  <c:v>Simpang Empat</c:v>
                </c:pt>
                <c:pt idx="10">
                  <c:v>Sungai Loban</c:v>
                </c:pt>
                <c:pt idx="11">
                  <c:v>Teluk Kepayang</c:v>
                </c:pt>
              </c:strCache>
            </c:strRef>
          </c:cat>
          <c:val>
            <c:numRef>
              <c:f>'INVEST LOKASI PMDN'!$B$4:$B$15</c:f>
              <c:numCache>
                <c:formatCode>0.0%</c:formatCode>
                <c:ptCount val="12"/>
                <c:pt idx="0">
                  <c:v>6.7432569894478683E-2</c:v>
                </c:pt>
                <c:pt idx="1">
                  <c:v>0</c:v>
                </c:pt>
                <c:pt idx="2">
                  <c:v>7.3905209539340848E-4</c:v>
                </c:pt>
                <c:pt idx="3">
                  <c:v>0</c:v>
                </c:pt>
                <c:pt idx="4">
                  <c:v>4.4864552312224096E-4</c:v>
                </c:pt>
                <c:pt idx="5">
                  <c:v>1.0763172352876011E-2</c:v>
                </c:pt>
                <c:pt idx="6">
                  <c:v>6.5179168486134849E-4</c:v>
                </c:pt>
                <c:pt idx="7">
                  <c:v>5.8235153196439987E-2</c:v>
                </c:pt>
                <c:pt idx="8">
                  <c:v>0.19670256644592127</c:v>
                </c:pt>
                <c:pt idx="9">
                  <c:v>0.56005318778121649</c:v>
                </c:pt>
                <c:pt idx="10">
                  <c:v>1.4366915508873368E-2</c:v>
                </c:pt>
                <c:pt idx="11">
                  <c:v>9.0606945516817236E-2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D-4A09-909C-BEC8D0EB2F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39222169052072"/>
          <c:y val="9.4805230843941865E-2"/>
          <c:w val="0.59838314409593829"/>
          <c:h val="0.76339981731358475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7-EF2D-41D3-9D59-D17F2FC3C2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4-EF2D-41D3-9D59-D17F2FC3C2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A-EF2D-41D3-9D59-D17F2FC3C2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5-EF2D-41D3-9D59-D17F2FC3C2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8-EF2D-41D3-9D59-D17F2FC3C2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6-EF2D-41D3-9D59-D17F2FC3C2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9-EF2D-41D3-9D59-D17F2FC3C2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EF2D-41D3-9D59-D17F2FC3C2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2-EF2D-41D3-9D59-D17F2FC3C2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D-EF2D-41D3-9D59-D17F2FC3C2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C-EF2D-41D3-9D59-D17F2FC3C2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B-EF2D-41D3-9D59-D17F2FC3C212}"/>
              </c:ext>
            </c:extLst>
          </c:dPt>
          <c:dLbls>
            <c:dLbl>
              <c:idx val="0"/>
              <c:layout>
                <c:manualLayout>
                  <c:x val="-8.5174953959484351E-2"/>
                  <c:y val="-3.81791483113069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2D-41D3-9D59-D17F2FC3C212}"/>
                </c:ext>
              </c:extLst>
            </c:dLbl>
            <c:dLbl>
              <c:idx val="1"/>
              <c:layout>
                <c:manualLayout>
                  <c:x val="2.0718232044198894E-2"/>
                  <c:y val="-0.179148311306901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2D-41D3-9D59-D17F2FC3C212}"/>
                </c:ext>
              </c:extLst>
            </c:dLbl>
            <c:dLbl>
              <c:idx val="2"/>
              <c:layout>
                <c:manualLayout>
                  <c:x val="3.6832412523020261E-2"/>
                  <c:y val="-0.105726872246696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2D-41D3-9D59-D17F2FC3C212}"/>
                </c:ext>
              </c:extLst>
            </c:dLbl>
            <c:dLbl>
              <c:idx val="3"/>
              <c:layout>
                <c:manualLayout>
                  <c:x val="3.4530386740331494E-2"/>
                  <c:y val="-0.196769456681350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2D-41D3-9D59-D17F2FC3C212}"/>
                </c:ext>
              </c:extLst>
            </c:dLbl>
            <c:dLbl>
              <c:idx val="4"/>
              <c:layout>
                <c:manualLayout>
                  <c:x val="5.2946593001841617E-2"/>
                  <c:y val="-4.11160058737151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2D-41D3-9D59-D17F2FC3C212}"/>
                </c:ext>
              </c:extLst>
            </c:dLbl>
            <c:dLbl>
              <c:idx val="5"/>
              <c:layout>
                <c:manualLayout>
                  <c:x val="5.0644567219152684E-2"/>
                  <c:y val="4.4052863436123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2D-41D3-9D59-D17F2FC3C212}"/>
                </c:ext>
              </c:extLst>
            </c:dLbl>
            <c:dLbl>
              <c:idx val="6"/>
              <c:layout>
                <c:manualLayout>
                  <c:x val="4.581031307550628E-2"/>
                  <c:y val="0.1174743024963288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2D-41D3-9D59-D17F2FC3C212}"/>
                </c:ext>
              </c:extLst>
            </c:dLbl>
            <c:dLbl>
              <c:idx val="7"/>
              <c:layout>
                <c:manualLayout>
                  <c:x val="2.775771813053755E-2"/>
                  <c:y val="0.1674008810572687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2D-41D3-9D59-D17F2FC3C212}"/>
                </c:ext>
              </c:extLst>
            </c:dLbl>
            <c:dLbl>
              <c:idx val="8"/>
              <c:layout>
                <c:manualLayout>
                  <c:x val="4.6040515653775156E-2"/>
                  <c:y val="0.214390602055800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2D-41D3-9D59-D17F2FC3C212}"/>
                </c:ext>
              </c:extLst>
            </c:dLbl>
            <c:dLbl>
              <c:idx val="9"/>
              <c:layout>
                <c:manualLayout>
                  <c:x val="-0.15883977900552487"/>
                  <c:y val="-0.234948604992657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F2D-41D3-9D59-D17F2FC3C212}"/>
                </c:ext>
              </c:extLst>
            </c:dLbl>
            <c:dLbl>
              <c:idx val="10"/>
              <c:layout>
                <c:manualLayout>
                  <c:x val="2.3020257826887663E-3"/>
                  <c:y val="4.69897209985315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F2D-41D3-9D59-D17F2FC3C212}"/>
                </c:ext>
              </c:extLst>
            </c:dLbl>
            <c:dLbl>
              <c:idx val="11"/>
              <c:layout>
                <c:manualLayout>
                  <c:x val="3.2228360957642727E-2"/>
                  <c:y val="-0.1233480176211453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F2D-41D3-9D59-D17F2FC3C2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accent1">
                      <a:lumMod val="7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 LOKASI PMDN'!$A$4:$A$15</c:f>
              <c:strCache>
                <c:ptCount val="12"/>
                <c:pt idx="0">
                  <c:v>Angsana</c:v>
                </c:pt>
                <c:pt idx="1">
                  <c:v>Batulicin</c:v>
                </c:pt>
                <c:pt idx="2">
                  <c:v>Karang Bintang</c:v>
                </c:pt>
                <c:pt idx="3">
                  <c:v>Kuranji</c:v>
                </c:pt>
                <c:pt idx="4">
                  <c:v>Kusan Hilir</c:v>
                </c:pt>
                <c:pt idx="5">
                  <c:v>Kusan Hulu</c:v>
                </c:pt>
                <c:pt idx="6">
                  <c:v>Kusan Tengah</c:v>
                </c:pt>
                <c:pt idx="7">
                  <c:v>Mantewe</c:v>
                </c:pt>
                <c:pt idx="8">
                  <c:v>Satui</c:v>
                </c:pt>
                <c:pt idx="9">
                  <c:v>Simpang Empat</c:v>
                </c:pt>
                <c:pt idx="10">
                  <c:v>Sungai Loban</c:v>
                </c:pt>
                <c:pt idx="11">
                  <c:v>Teluk Kepayang</c:v>
                </c:pt>
              </c:strCache>
            </c:strRef>
          </c:cat>
          <c:val>
            <c:numRef>
              <c:f>'INVEST LOKASI PMDN'!$B$4:$B$15</c:f>
              <c:numCache>
                <c:formatCode>0.0%</c:formatCode>
                <c:ptCount val="12"/>
                <c:pt idx="0">
                  <c:v>6.7432569894478683E-2</c:v>
                </c:pt>
                <c:pt idx="1">
                  <c:v>0</c:v>
                </c:pt>
                <c:pt idx="2">
                  <c:v>7.3905209539340848E-4</c:v>
                </c:pt>
                <c:pt idx="3">
                  <c:v>0</c:v>
                </c:pt>
                <c:pt idx="4">
                  <c:v>4.4864552312224096E-4</c:v>
                </c:pt>
                <c:pt idx="5">
                  <c:v>1.0763172352876011E-2</c:v>
                </c:pt>
                <c:pt idx="6">
                  <c:v>6.5179168486134849E-4</c:v>
                </c:pt>
                <c:pt idx="7">
                  <c:v>5.8235153196439987E-2</c:v>
                </c:pt>
                <c:pt idx="8">
                  <c:v>0.19670256644592127</c:v>
                </c:pt>
                <c:pt idx="9">
                  <c:v>0.56005318778121649</c:v>
                </c:pt>
                <c:pt idx="10">
                  <c:v>1.4366915508873368E-2</c:v>
                </c:pt>
                <c:pt idx="11">
                  <c:v>9.0606945516817236E-2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D-41D3-9D59-D17F2FC3C21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F2D-41D3-9D59-D17F2FC3C2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F2D-41D3-9D59-D17F2FC3C2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F2D-41D3-9D59-D17F2FC3C2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F2D-41D3-9D59-D17F2FC3C2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F2D-41D3-9D59-D17F2FC3C2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F2D-41D3-9D59-D17F2FC3C2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F2D-41D3-9D59-D17F2FC3C2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F2D-41D3-9D59-D17F2FC3C2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EF2D-41D3-9D59-D17F2FC3C2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F2D-41D3-9D59-D17F2FC3C2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EF2D-41D3-9D59-D17F2FC3C2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F2D-41D3-9D59-D17F2FC3C21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F2D-41D3-9D59-D17F2FC3C21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F2D-41D3-9D59-D17F2FC3C21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F2D-41D3-9D59-D17F2FC3C21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EF2D-41D3-9D59-D17F2FC3C21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EF2D-41D3-9D59-D17F2FC3C21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EF2D-41D3-9D59-D17F2FC3C21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EF2D-41D3-9D59-D17F2FC3C21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EF2D-41D3-9D59-D17F2FC3C21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EF2D-41D3-9D59-D17F2FC3C21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EF2D-41D3-9D59-D17F2FC3C21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EF2D-41D3-9D59-D17F2FC3C21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EF2D-41D3-9D59-D17F2FC3C21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 LOKASI PMDN'!$A$4:$A$15</c:f>
              <c:strCache>
                <c:ptCount val="12"/>
                <c:pt idx="0">
                  <c:v>Angsana</c:v>
                </c:pt>
                <c:pt idx="1">
                  <c:v>Batulicin</c:v>
                </c:pt>
                <c:pt idx="2">
                  <c:v>Karang Bintang</c:v>
                </c:pt>
                <c:pt idx="3">
                  <c:v>Kuranji</c:v>
                </c:pt>
                <c:pt idx="4">
                  <c:v>Kusan Hilir</c:v>
                </c:pt>
                <c:pt idx="5">
                  <c:v>Kusan Hulu</c:v>
                </c:pt>
                <c:pt idx="6">
                  <c:v>Kusan Tengah</c:v>
                </c:pt>
                <c:pt idx="7">
                  <c:v>Mantewe</c:v>
                </c:pt>
                <c:pt idx="8">
                  <c:v>Satui</c:v>
                </c:pt>
                <c:pt idx="9">
                  <c:v>Simpang Empat</c:v>
                </c:pt>
                <c:pt idx="10">
                  <c:v>Sungai Loban</c:v>
                </c:pt>
                <c:pt idx="11">
                  <c:v>Teluk Kepayang</c:v>
                </c:pt>
              </c:strCache>
            </c:strRef>
          </c:cat>
          <c:val>
            <c:numRef>
              <c:f>'INVEST LOKASI PMDN'!$C$4:$C$15</c:f>
              <c:numCache>
                <c:formatCode>_-* #,##0_-;\-* #,##0_-;_-* "-"_-;_-@_-</c:formatCode>
                <c:ptCount val="12"/>
                <c:pt idx="0">
                  <c:v>950718429246</c:v>
                </c:pt>
                <c:pt idx="1">
                  <c:v>0</c:v>
                </c:pt>
                <c:pt idx="2">
                  <c:v>10419748919</c:v>
                </c:pt>
                <c:pt idx="3">
                  <c:v>0</c:v>
                </c:pt>
                <c:pt idx="4">
                  <c:v>6325364252</c:v>
                </c:pt>
                <c:pt idx="5">
                  <c:v>151747832376</c:v>
                </c:pt>
                <c:pt idx="6">
                  <c:v>9189481697</c:v>
                </c:pt>
                <c:pt idx="7">
                  <c:v>821045875316</c:v>
                </c:pt>
                <c:pt idx="8">
                  <c:v>2773270472900</c:v>
                </c:pt>
                <c:pt idx="9">
                  <c:v>7896078820884</c:v>
                </c:pt>
                <c:pt idx="10">
                  <c:v>202556292413</c:v>
                </c:pt>
                <c:pt idx="11">
                  <c:v>1277449355042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2D-41D3-9D59-D17F2FC3C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9711216653474"/>
          <c:y val="0.31006663939734808"/>
          <c:w val="0.50201190129011664"/>
          <c:h val="0.76132597266866231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FE5-475F-9A9C-B69241BB717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E5-475F-9A9C-B69241BB717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FE5-475F-9A9C-B69241BB717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FE5-475F-9A9C-B69241BB717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E5-475F-9A9C-B69241BB7172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E5-475F-9A9C-B69241BB7172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FE5-475F-9A9C-B69241BB7172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FE5-475F-9A9C-B69241BB7172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FE5-475F-9A9C-B69241BB7172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E5-475F-9A9C-B69241BB717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FE5-475F-9A9C-B69241BB7172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FE5-475F-9A9C-B69241BB7172}"/>
              </c:ext>
            </c:extLst>
          </c:dPt>
          <c:dPt>
            <c:idx val="12"/>
            <c:bubble3D val="0"/>
            <c:explosion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FE5-475F-9A9C-B69241BB7172}"/>
              </c:ext>
            </c:extLst>
          </c:dPt>
          <c:dLbls>
            <c:dLbl>
              <c:idx val="0"/>
              <c:layout>
                <c:manualLayout>
                  <c:x val="-0.37257495590828926"/>
                  <c:y val="-8.92857142857142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FE5-475F-9A9C-B69241BB7172}"/>
                </c:ext>
              </c:extLst>
            </c:dLbl>
            <c:dLbl>
              <c:idx val="1"/>
              <c:layout>
                <c:manualLayout>
                  <c:x val="-0.37037037037037035"/>
                  <c:y val="6.44710604356273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E5-475F-9A9C-B69241BB7172}"/>
                </c:ext>
              </c:extLst>
            </c:dLbl>
            <c:dLbl>
              <c:idx val="2"/>
              <c:layout>
                <c:manualLayout>
                  <c:x val="-0.24250440917107582"/>
                  <c:y val="-0.189393939393939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FE5-475F-9A9C-B69241BB7172}"/>
                </c:ext>
              </c:extLst>
            </c:dLbl>
            <c:dLbl>
              <c:idx val="3"/>
              <c:layout>
                <c:manualLayout>
                  <c:x val="-0.23148148148148148"/>
                  <c:y val="-0.129870129870129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FE5-475F-9A9C-B69241BB7172}"/>
                </c:ext>
              </c:extLst>
            </c:dLbl>
            <c:dLbl>
              <c:idx val="4"/>
              <c:layout>
                <c:manualLayout>
                  <c:x val="-1.1022059742532184E-3"/>
                  <c:y val="-0.2023617786413061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77601410934742"/>
                      <c:h val="8.28328987285680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FE5-475F-9A9C-B69241BB7172}"/>
                </c:ext>
              </c:extLst>
            </c:dLbl>
            <c:dLbl>
              <c:idx val="5"/>
              <c:layout>
                <c:manualLayout>
                  <c:x val="-3.0864197530864196E-2"/>
                  <c:y val="-7.5757575757575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E5-475F-9A9C-B69241BB7172}"/>
                </c:ext>
              </c:extLst>
            </c:dLbl>
            <c:dLbl>
              <c:idx val="6"/>
              <c:layout>
                <c:manualLayout>
                  <c:x val="0.11022927689594364"/>
                  <c:y val="-6.76406926406926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FE5-475F-9A9C-B69241BB7172}"/>
                </c:ext>
              </c:extLst>
            </c:dLbl>
            <c:dLbl>
              <c:idx val="7"/>
              <c:layout>
                <c:manualLayout>
                  <c:x val="5.9523809523809521E-2"/>
                  <c:y val="-0.229978354978354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FE5-475F-9A9C-B69241BB7172}"/>
                </c:ext>
              </c:extLst>
            </c:dLbl>
            <c:dLbl>
              <c:idx val="8"/>
              <c:layout>
                <c:manualLayout>
                  <c:x val="0.23589065255731906"/>
                  <c:y val="-0.1866883116883116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E5-475F-9A9C-B69241BB7172}"/>
                </c:ext>
              </c:extLst>
            </c:dLbl>
            <c:dLbl>
              <c:idx val="9"/>
              <c:layout>
                <c:manualLayout>
                  <c:x val="0.2336860670194002"/>
                  <c:y val="-5.14069264069264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FE5-475F-9A9C-B69241BB7172}"/>
                </c:ext>
              </c:extLst>
            </c:dLbl>
            <c:dLbl>
              <c:idx val="10"/>
              <c:layout>
                <c:manualLayout>
                  <c:x val="0.21825396825396826"/>
                  <c:y val="6.11086256263421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FE5-475F-9A9C-B69241BB7172}"/>
                </c:ext>
              </c:extLst>
            </c:dLbl>
            <c:dLbl>
              <c:idx val="11"/>
              <c:layout>
                <c:manualLayout>
                  <c:x val="0.18077601410934743"/>
                  <c:y val="0.148692777039233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FE5-475F-9A9C-B69241BB7172}"/>
                </c:ext>
              </c:extLst>
            </c:dLbl>
            <c:dLbl>
              <c:idx val="12"/>
              <c:layout>
                <c:manualLayout>
                  <c:x val="-0.1917989417989418"/>
                  <c:y val="-1.33734536944165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FE5-475F-9A9C-B69241BB717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'Perperusahaan PMA'!$A$40:$A$52</c:f>
              <c:strCache>
                <c:ptCount val="13"/>
                <c:pt idx="0">
                  <c:v>ANUGERAH BAROKAH CAKRAWALA</c:v>
                </c:pt>
                <c:pt idx="1">
                  <c:v>ANUGERAH BAROKAH ENERGI BARU</c:v>
                </c:pt>
                <c:pt idx="2">
                  <c:v>TRANSCOAL MINERGY</c:v>
                </c:pt>
                <c:pt idx="3">
                  <c:v>THIESS CONTRACTORS INDONESIA</c:v>
                </c:pt>
                <c:pt idx="4">
                  <c:v>YIWAN MINING</c:v>
                </c:pt>
                <c:pt idx="5">
                  <c:v>SINGALAND ASETAMA</c:v>
                </c:pt>
                <c:pt idx="6">
                  <c:v>THIESS CONTRACTORS INDONESIA</c:v>
                </c:pt>
                <c:pt idx="7">
                  <c:v>ANUGERAH BAROKAH CAKRAWALA</c:v>
                </c:pt>
                <c:pt idx="8">
                  <c:v>ANUGERAH BAROKAH CAKRAWALA</c:v>
                </c:pt>
                <c:pt idx="9">
                  <c:v>ANUGERAH BAROKAH CAKRAWALA</c:v>
                </c:pt>
                <c:pt idx="10">
                  <c:v>JAYA MANDIRI SUKSES</c:v>
                </c:pt>
                <c:pt idx="11">
                  <c:v>CAHAYA ANUGRAH SARANA CATERING</c:v>
                </c:pt>
                <c:pt idx="12">
                  <c:v>CAHAYA ANUGRAH SARANA CATERING</c:v>
                </c:pt>
              </c:strCache>
            </c:strRef>
          </c:cat>
          <c:val>
            <c:numRef>
              <c:f>'Perperusahaan PMA'!$B$40:$B$52</c:f>
              <c:numCache>
                <c:formatCode>_-* #,##0_-;\-* #,##0_-;_-* "-"_-;_-@_-</c:formatCode>
                <c:ptCount val="13"/>
                <c:pt idx="0">
                  <c:v>900779394479</c:v>
                </c:pt>
                <c:pt idx="1">
                  <c:v>599173640844</c:v>
                </c:pt>
                <c:pt idx="2">
                  <c:v>1730903276556</c:v>
                </c:pt>
                <c:pt idx="3">
                  <c:v>451943072762</c:v>
                </c:pt>
                <c:pt idx="4">
                  <c:v>26958245615</c:v>
                </c:pt>
                <c:pt idx="5">
                  <c:v>37198927864</c:v>
                </c:pt>
                <c:pt idx="6">
                  <c:v>451943072762</c:v>
                </c:pt>
                <c:pt idx="7">
                  <c:v>900779394479</c:v>
                </c:pt>
                <c:pt idx="8">
                  <c:v>900779394479</c:v>
                </c:pt>
                <c:pt idx="9">
                  <c:v>900779394479</c:v>
                </c:pt>
                <c:pt idx="10">
                  <c:v>3580448791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75F-9A9C-B69241BB71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C057-42B3-9456-86DF14C030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2-C057-42B3-9456-86DF14C030F4}"/>
              </c:ext>
            </c:extLst>
          </c:dPt>
          <c:dLbls>
            <c:dLbl>
              <c:idx val="0"/>
              <c:layout>
                <c:manualLayout>
                  <c:x val="0.20524133906750611"/>
                  <c:y val="-8.99852577396865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57-42B3-9456-86DF14C030F4}"/>
                </c:ext>
              </c:extLst>
            </c:dLbl>
            <c:dLbl>
              <c:idx val="1"/>
              <c:layout>
                <c:manualLayout>
                  <c:x val="-0.21635663101262106"/>
                  <c:y val="9.25924603868683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57-42B3-9456-86DF14C030F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'Perperusahaan PMDN'!$I$4:$I$5</c:f>
              <c:strCache>
                <c:ptCount val="2"/>
                <c:pt idx="0">
                  <c:v>PMA</c:v>
                </c:pt>
                <c:pt idx="1">
                  <c:v>PMDN</c:v>
                </c:pt>
              </c:strCache>
            </c:strRef>
          </c:cat>
          <c:val>
            <c:numRef>
              <c:f>'Perperusahaan PMDN'!$J$4:$J$5</c:f>
              <c:numCache>
                <c:formatCode>_-* #,##0_-;\-* #,##0_-;_-* "-"_-;_-@_-</c:formatCode>
                <c:ptCount val="2"/>
                <c:pt idx="0">
                  <c:v>1653622393959</c:v>
                </c:pt>
                <c:pt idx="1">
                  <c:v>16350571119096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7-42B3-9456-86DF14C030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694444444444442"/>
          <c:y val="0.1816582994239814"/>
          <c:w val="0.46388888888888891"/>
          <c:h val="0.77314814814814814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0831-407F-8185-BFBB0BE0B4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4-0831-407F-8185-BFBB0BE0B4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0831-407F-8185-BFBB0BE0B4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6-0831-407F-8185-BFBB0BE0B4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0831-407F-8185-BFBB0BE0B4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2-0831-407F-8185-BFBB0BE0B4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C-F0FC-48AB-BC2B-7E6A59A103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F0FC-48AB-BC2B-7E6A59A103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E-F0FC-48AB-BC2B-7E6A59A103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F0FC-48AB-BC2B-7E6A59A103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0-F0FC-48AB-BC2B-7E6A59A103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7-E7EE-4CAE-80A9-7D45CEFB839A}"/>
              </c:ext>
            </c:extLst>
          </c:dPt>
          <c:dLbls>
            <c:dLbl>
              <c:idx val="0"/>
              <c:layout>
                <c:manualLayout>
                  <c:x val="6.3888888888888884E-2"/>
                  <c:y val="-3.68817488417974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31-407F-8185-BFBB0BE0B4C3}"/>
                </c:ext>
              </c:extLst>
            </c:dLbl>
            <c:dLbl>
              <c:idx val="1"/>
              <c:layout>
                <c:manualLayout>
                  <c:x val="4.9999999999999899E-2"/>
                  <c:y val="4.16666666666666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31-407F-8185-BFBB0BE0B4C3}"/>
                </c:ext>
              </c:extLst>
            </c:dLbl>
            <c:dLbl>
              <c:idx val="2"/>
              <c:layout>
                <c:manualLayout>
                  <c:x val="3.6111111111111108E-2"/>
                  <c:y val="1.38888888888888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31-407F-8185-BFBB0BE0B4C3}"/>
                </c:ext>
              </c:extLst>
            </c:dLbl>
            <c:dLbl>
              <c:idx val="3"/>
              <c:layout>
                <c:manualLayout>
                  <c:x val="1.3888888888888888E-2"/>
                  <c:y val="3.24074074074074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31-407F-8185-BFBB0BE0B4C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831-407F-8185-BFBB0BE0B4C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831-407F-8185-BFBB0BE0B4C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F0FC-48AB-BC2B-7E6A59A103E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F0FC-48AB-BC2B-7E6A59A103E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F0FC-48AB-BC2B-7E6A59A103E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F0FC-48AB-BC2B-7E6A59A103EB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F0FC-48AB-BC2B-7E6A59A103EB}"/>
                </c:ext>
              </c:extLst>
            </c:dLbl>
            <c:dLbl>
              <c:idx val="11"/>
              <c:layout>
                <c:manualLayout>
                  <c:x val="-0.14166666666666672"/>
                  <c:y val="-2.7777777777777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7EE-4CAE-80A9-7D45CEFB839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Negara!$A$14:$A$25</c:f>
              <c:strCache>
                <c:ptCount val="5"/>
                <c:pt idx="0">
                  <c:v>Hongkong, RRT</c:v>
                </c:pt>
                <c:pt idx="1">
                  <c:v>Singapura</c:v>
                </c:pt>
                <c:pt idx="2">
                  <c:v>R.R. Tiongkok</c:v>
                </c:pt>
                <c:pt idx="3">
                  <c:v>India</c:v>
                </c:pt>
                <c:pt idx="4">
                  <c:v>Total =</c:v>
                </c:pt>
              </c:strCache>
            </c:strRef>
          </c:cat>
          <c:val>
            <c:numRef>
              <c:f>Negara!$B$14:$B$25</c:f>
              <c:numCache>
                <c:formatCode>General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1</c:v>
                </c:pt>
                <c:pt idx="3">
                  <c:v>1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1-407F-8185-BFBB0BE0B4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805555555555555"/>
          <c:y val="0.1875"/>
          <c:w val="0.46388888888888891"/>
          <c:h val="0.77314814814814814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2-2F2C-416D-A243-BE7ECBEDB5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2F2C-416D-A243-BE7ECBEDB5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4-2F2C-416D-A243-BE7ECBEDB5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5-2F2C-416D-A243-BE7ECBEDB585}"/>
              </c:ext>
            </c:extLst>
          </c:dPt>
          <c:dPt>
            <c:idx val="4"/>
            <c:bubble3D val="0"/>
            <c:explosion val="1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2F2C-416D-A243-BE7ECBEDB585}"/>
              </c:ext>
            </c:extLst>
          </c:dPt>
          <c:dLbls>
            <c:dLbl>
              <c:idx val="0"/>
              <c:layout>
                <c:manualLayout>
                  <c:x val="-7.2222222222222215E-2"/>
                  <c:y val="-3.24074074074074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2C-416D-A243-BE7ECBEDB585}"/>
                </c:ext>
              </c:extLst>
            </c:dLbl>
            <c:dLbl>
              <c:idx val="1"/>
              <c:layout>
                <c:manualLayout>
                  <c:x val="2.7777777777777779E-3"/>
                  <c:y val="-4.16666666666666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2C-416D-A243-BE7ECBEDB585}"/>
                </c:ext>
              </c:extLst>
            </c:dLbl>
            <c:dLbl>
              <c:idx val="2"/>
              <c:layout>
                <c:manualLayout>
                  <c:x val="1.9444444444444344E-2"/>
                  <c:y val="-6.94444444444444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2C-416D-A243-BE7ECBEDB585}"/>
                </c:ext>
              </c:extLst>
            </c:dLbl>
            <c:dLbl>
              <c:idx val="3"/>
              <c:layout>
                <c:manualLayout>
                  <c:x val="3.3333333333333333E-2"/>
                  <c:y val="-5.55555555555555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2C-416D-A243-BE7ECBEDB58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F2C-416D-A243-BE7ECBEDB5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accent1">
                      <a:lumMod val="7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Negara!$A$4:$A$8</c:f>
              <c:strCache>
                <c:ptCount val="5"/>
                <c:pt idx="0">
                  <c:v>Hongkong, RRT</c:v>
                </c:pt>
                <c:pt idx="1">
                  <c:v>Singapura</c:v>
                </c:pt>
                <c:pt idx="2">
                  <c:v>R.R. Tiongkok</c:v>
                </c:pt>
                <c:pt idx="3">
                  <c:v>India</c:v>
                </c:pt>
                <c:pt idx="4">
                  <c:v>Total =</c:v>
                </c:pt>
              </c:strCache>
            </c:strRef>
          </c:cat>
          <c:val>
            <c:numRef>
              <c:f>Negara!$B$4:$B$8</c:f>
              <c:numCache>
                <c:formatCode>General</c:formatCode>
                <c:ptCount val="5"/>
                <c:pt idx="0">
                  <c:v>7</c:v>
                </c:pt>
                <c:pt idx="1">
                  <c:v>11</c:v>
                </c:pt>
                <c:pt idx="2">
                  <c:v>1</c:v>
                </c:pt>
                <c:pt idx="3">
                  <c:v>1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C-416D-A243-BE7ECBEDB5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17751070589858"/>
          <c:y val="0.19692681955425428"/>
          <c:w val="0.58427655753557117"/>
          <c:h val="0.75880072407217036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A-35C5-4DA4-B4E1-04C6664045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C-35C5-4DA4-B4E1-04C6664045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35C5-4DA4-B4E1-04C6664045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5-35C5-4DA4-B4E1-04C6664045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35C5-4DA4-B4E1-04C6664045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3-35C5-4DA4-B4E1-04C6664045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2-35C5-4DA4-B4E1-04C6664045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4-35C5-4DA4-B4E1-04C6664045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35C5-4DA4-B4E1-04C6664045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1-35C5-4DA4-B4E1-04C6664045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10-35C5-4DA4-B4E1-04C6664045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35C5-4DA4-B4E1-04C66640453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E-35C5-4DA4-B4E1-04C66640453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2-35C5-4DA4-B4E1-04C66640453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35C5-4DA4-B4E1-04C66640453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4-35C5-4DA4-B4E1-04C66640453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35C5-4DA4-B4E1-04C66640453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6-35C5-4DA4-B4E1-04C66640453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35C5-4DA4-B4E1-04C66640453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8-35C5-4DA4-B4E1-04C66640453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35C5-4DA4-B4E1-04C666404533}"/>
              </c:ext>
            </c:extLst>
          </c:dPt>
          <c:dLbls>
            <c:dLbl>
              <c:idx val="0"/>
              <c:layout>
                <c:manualLayout>
                  <c:x val="-0.39469066128054914"/>
                  <c:y val="3.3514052747670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142EB7-0848-4EEA-B954-ED286F9F8C30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; 2,5%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35C5-4DA4-B4E1-04C666404533}"/>
                </c:ext>
              </c:extLst>
            </c:dLbl>
            <c:dLbl>
              <c:idx val="1"/>
              <c:layout>
                <c:manualLayout>
                  <c:x val="-0.44029935991741259"/>
                  <c:y val="-1.45947055284377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C02A4EE-CF32-4E4D-855F-665BD63B4374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32,7%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35C5-4DA4-B4E1-04C666404533}"/>
                </c:ext>
              </c:extLst>
            </c:dLbl>
            <c:dLbl>
              <c:idx val="2"/>
              <c:layout>
                <c:manualLayout>
                  <c:x val="-0.24032275820193441"/>
                  <c:y val="-0.1126330535346823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D3B10F7-6727-41F0-B95C-142D9A489F39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35C5-4DA4-B4E1-04C666404533}"/>
                </c:ext>
              </c:extLst>
            </c:dLbl>
            <c:dLbl>
              <c:idx val="3"/>
              <c:layout>
                <c:manualLayout>
                  <c:x val="-0.24032275820193438"/>
                  <c:y val="-6.99844517959753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6C15B8-0F3D-48B3-9A5E-C214FD7DBE60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5-35C5-4DA4-B4E1-04C666404533}"/>
                </c:ext>
              </c:extLst>
            </c:dLbl>
            <c:dLbl>
              <c:idx val="4"/>
              <c:layout>
                <c:manualLayout>
                  <c:x val="-2.9821072185641492E-2"/>
                  <c:y val="-0.1259087249788051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AD705CB-FD7A-496E-B154-545DAE47051F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5C5-4DA4-B4E1-04C666404533}"/>
                </c:ext>
              </c:extLst>
            </c:dLbl>
            <c:dLbl>
              <c:idx val="5"/>
              <c:layout>
                <c:manualLayout>
                  <c:x val="0.15612208379541723"/>
                  <c:y val="-0.1399689035919507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0B76DA2-823E-47E6-9CDF-F12459A59EFB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35C5-4DA4-B4E1-04C666404533}"/>
                </c:ext>
              </c:extLst>
            </c:dLbl>
            <c:dLbl>
              <c:idx val="6"/>
              <c:layout>
                <c:manualLayout>
                  <c:x val="0.28768563755560028"/>
                  <c:y val="-8.55981149117646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4CF9262-BDEA-4C4F-929F-4EEB75B8E0C5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35C5-4DA4-B4E1-04C666404533}"/>
                </c:ext>
              </c:extLst>
            </c:dLbl>
            <c:dLbl>
              <c:idx val="7"/>
              <c:layout>
                <c:manualLayout>
                  <c:x val="0.25166415809615866"/>
                  <c:y val="-5.51392650513745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D03D0CC-6AFC-4493-8E8B-0DD5441D02E8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4-35C5-4DA4-B4E1-04C666404533}"/>
                </c:ext>
              </c:extLst>
            </c:dLbl>
            <c:dLbl>
              <c:idx val="8"/>
              <c:layout>
                <c:manualLayout>
                  <c:x val="0.23856857748513194"/>
                  <c:y val="7.198830152528032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F795182-BD83-402D-B9FF-CF3C0CB57BFE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35C5-4DA4-B4E1-04C666404533}"/>
                </c:ext>
              </c:extLst>
            </c:dLbl>
            <c:dLbl>
              <c:idx val="9"/>
              <c:layout>
                <c:manualLayout>
                  <c:x val="0.22161462804393517"/>
                  <c:y val="9.259455624163284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45F13D-85D4-4FB4-B270-46BFD2C47A12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1,4%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35C5-4DA4-B4E1-04C666404533}"/>
                </c:ext>
              </c:extLst>
            </c:dLbl>
            <c:dLbl>
              <c:idx val="10"/>
              <c:layout>
                <c:manualLayout>
                  <c:x val="0.24490918109181023"/>
                  <c:y val="0.143943372542549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F0B499E-DCC5-4FF0-BB29-DC62C16B1BC0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35C5-4DA4-B4E1-04C666404533}"/>
                </c:ext>
              </c:extLst>
            </c:dLbl>
            <c:dLbl>
              <c:idx val="11"/>
              <c:layout>
                <c:manualLayout>
                  <c:x val="-0.10349666229134401"/>
                  <c:y val="8.867051750922146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FC54619-CA3E-476C-B9D8-E9960E0CF9A8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35C5-4DA4-B4E1-04C666404533}"/>
                </c:ext>
              </c:extLst>
            </c:dLbl>
            <c:dLbl>
              <c:idx val="12"/>
              <c:layout>
                <c:manualLayout>
                  <c:x val="0.1420886380609977"/>
                  <c:y val="0.114119489818751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153A55-D85E-426E-A23C-98F50F79F020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35C5-4DA4-B4E1-04C666404533}"/>
                </c:ext>
              </c:extLst>
            </c:dLbl>
            <c:dLbl>
              <c:idx val="13"/>
              <c:layout>
                <c:manualLayout>
                  <c:x val="3.8591975769653696E-2"/>
                  <c:y val="3.356455582904461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4C5DE8-5984-4D8F-9DC6-881ACBFBE45D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27,9%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5C5-4DA4-B4E1-04C666404533}"/>
                </c:ext>
              </c:extLst>
            </c:dLbl>
            <c:dLbl>
              <c:idx val="14"/>
              <c:layout>
                <c:manualLayout>
                  <c:x val="3.5083614336048813E-2"/>
                  <c:y val="6.71291116580874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D0E7A74-783D-4691-9CF1-1E8EC5090FC5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1,4%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5C5-4DA4-B4E1-04C666404533}"/>
                </c:ext>
              </c:extLst>
            </c:dLbl>
            <c:dLbl>
              <c:idx val="15"/>
              <c:layout>
                <c:manualLayout>
                  <c:x val="-4.0346156486456133E-2"/>
                  <c:y val="1.342582233161781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39AC598-3158-4DF4-A4DC-DE5F51FAEED9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32,7%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5C5-4DA4-B4E1-04C666404533}"/>
                </c:ext>
              </c:extLst>
            </c:dLbl>
            <c:dLbl>
              <c:idx val="16"/>
              <c:layout>
                <c:manualLayout>
                  <c:x val="-3.508361433604882E-2"/>
                  <c:y val="8.9505482210785418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66EA42B-AD4D-43E2-8BF9-7F68ED09E629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0,3%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5C5-4DA4-B4E1-04C666404533}"/>
                </c:ext>
              </c:extLst>
            </c:dLbl>
            <c:dLbl>
              <c:idx val="17"/>
              <c:layout>
                <c:manualLayout>
                  <c:x val="6.5537850688731421E-4"/>
                  <c:y val="6.733283809367303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E10378-DB55-4C5C-9037-523909D12538}" type="CATEGORYNAME">
                      <a:rPr lang="en-US">
                        <a:solidFill>
                          <a:schemeClr val="accent1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accent1"/>
                        </a:solidFill>
                      </a:rPr>
                      <a:t>; 9,1%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5C5-4DA4-B4E1-04C666404533}"/>
                </c:ext>
              </c:extLst>
            </c:dLbl>
            <c:dLbl>
              <c:idx val="18"/>
              <c:layout>
                <c:manualLayout>
                  <c:x val="-3.6837795052851258E-2"/>
                  <c:y val="0.120147657007053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6E14391-8B46-4E35-8274-78B7C6613EDD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1,4%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5C5-4DA4-B4E1-04C666404533}"/>
                </c:ext>
              </c:extLst>
            </c:dLbl>
            <c:dLbl>
              <c:idx val="19"/>
              <c:layout>
                <c:manualLayout>
                  <c:x val="-0.10349666229134401"/>
                  <c:y val="3.57019226771164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7EDECE-1030-4197-B0F2-337796C6BE08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; 1,4%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5C5-4DA4-B4E1-04C666404533}"/>
                </c:ext>
              </c:extLst>
            </c:dLbl>
            <c:dLbl>
              <c:idx val="20"/>
              <c:layout>
                <c:manualLayout>
                  <c:x val="0.11402174659215865"/>
                  <c:y val="0.1371633469834463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A36222D-12A6-4127-9003-99E21CAEF672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11,2%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41666778317276"/>
                      <c:h val="8.781988329913151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5C5-4DA4-B4E1-04C66640453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'Sektor PMDN'!$A$4:$A$24</c:f>
              <c:strCache>
                <c:ptCount val="21"/>
                <c:pt idx="0">
                  <c:v>Hotel dan Restoran</c:v>
                </c:pt>
                <c:pt idx="1">
                  <c:v>Industri  Mesin, Elektronik, Instrumen Kedokteran, Peralatan Listrik, Presisi, Optik dan Jam</c:v>
                </c:pt>
                <c:pt idx="2">
                  <c:v>Industri Karet dan Plastik</c:v>
                </c:pt>
                <c:pt idx="3">
                  <c:v>Industri Kayu</c:v>
                </c:pt>
                <c:pt idx="4">
                  <c:v>Industri Kendaraan Bermotor dan Alat Transportasi Lain</c:v>
                </c:pt>
                <c:pt idx="5">
                  <c:v>Industri Kertas dan Percetakan</c:v>
                </c:pt>
                <c:pt idx="6">
                  <c:v>Industri Kimia Dan Farmasi</c:v>
                </c:pt>
                <c:pt idx="7">
                  <c:v>Industri Lainnya</c:v>
                </c:pt>
                <c:pt idx="8">
                  <c:v>Industri Logam Dasar, Barang Logam, Bukan Mesin dan Peralatannya</c:v>
                </c:pt>
                <c:pt idx="9">
                  <c:v>Industri Makanan</c:v>
                </c:pt>
                <c:pt idx="10">
                  <c:v>Industri Tekstil</c:v>
                </c:pt>
                <c:pt idx="11">
                  <c:v>Jasa Lainnya</c:v>
                </c:pt>
                <c:pt idx="12">
                  <c:v>Kehutanan</c:v>
                </c:pt>
                <c:pt idx="13">
                  <c:v>Konstruksi</c:v>
                </c:pt>
                <c:pt idx="14">
                  <c:v>Listrik, Gas dan Air</c:v>
                </c:pt>
                <c:pt idx="15">
                  <c:v>Perdagangan dan Reparasi</c:v>
                </c:pt>
                <c:pt idx="16">
                  <c:v>Perikanan</c:v>
                </c:pt>
                <c:pt idx="17">
                  <c:v>Pertambangan</c:v>
                </c:pt>
                <c:pt idx="18">
                  <c:v>Perumahan, Kawasan Industri dan Perkantoran</c:v>
                </c:pt>
                <c:pt idx="19">
                  <c:v>Tanaman Pangan, Perkebunan, dan Peternakan</c:v>
                </c:pt>
                <c:pt idx="20">
                  <c:v>Transportasi, Gudang dan Telekomunikasi</c:v>
                </c:pt>
              </c:strCache>
            </c:strRef>
          </c:cat>
          <c:val>
            <c:numRef>
              <c:f>'Sektor PMDN'!$B$4:$B$24</c:f>
              <c:numCache>
                <c:formatCode>General</c:formatCode>
                <c:ptCount val="21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16</c:v>
                </c:pt>
                <c:pt idx="10">
                  <c:v>0</c:v>
                </c:pt>
                <c:pt idx="11">
                  <c:v>33</c:v>
                </c:pt>
                <c:pt idx="12">
                  <c:v>2</c:v>
                </c:pt>
                <c:pt idx="13">
                  <c:v>72</c:v>
                </c:pt>
                <c:pt idx="14">
                  <c:v>8</c:v>
                </c:pt>
                <c:pt idx="15">
                  <c:v>115</c:v>
                </c:pt>
                <c:pt idx="16">
                  <c:v>1</c:v>
                </c:pt>
                <c:pt idx="17">
                  <c:v>72</c:v>
                </c:pt>
                <c:pt idx="18">
                  <c:v>6</c:v>
                </c:pt>
                <c:pt idx="19">
                  <c:v>28</c:v>
                </c:pt>
                <c:pt idx="2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5-4DA4-B4E1-04C66640453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99748140999973"/>
          <c:y val="0.15322042753987011"/>
          <c:w val="0.62271863996139987"/>
          <c:h val="0.74280746010947696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explosion val="2"/>
          <c:dPt>
            <c:idx val="0"/>
            <c:bubble3D val="0"/>
            <c:spPr>
              <a:solidFill>
                <a:srgbClr val="E0D43E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6-A319-42A7-85CF-BA5DD79D5459}"/>
              </c:ext>
            </c:extLst>
          </c:dPt>
          <c:dPt>
            <c:idx val="1"/>
            <c:bubble3D val="0"/>
            <c:spPr>
              <a:solidFill>
                <a:srgbClr val="FF33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2-A319-42A7-85CF-BA5DD79D545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A319-42A7-85CF-BA5DD79D545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A319-42A7-85CF-BA5DD79D5459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A319-42A7-85CF-BA5DD79D545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A-A319-42A7-85CF-BA5DD79D545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A319-42A7-85CF-BA5DD79D5459}"/>
              </c:ext>
            </c:extLst>
          </c:dPt>
          <c:dPt>
            <c:idx val="7"/>
            <c:bubble3D val="0"/>
            <c:spPr>
              <a:solidFill>
                <a:srgbClr val="D28804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8-A319-42A7-85CF-BA5DD79D5459}"/>
              </c:ext>
            </c:extLst>
          </c:dPt>
          <c:dPt>
            <c:idx val="8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319-42A7-85CF-BA5DD79D5459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A319-42A7-85CF-BA5DD79D5459}"/>
              </c:ext>
            </c:extLst>
          </c:dPt>
          <c:dPt>
            <c:idx val="1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4-A319-42A7-85CF-BA5DD79D5459}"/>
              </c:ext>
            </c:extLst>
          </c:dPt>
          <c:dLbls>
            <c:dLbl>
              <c:idx val="0"/>
              <c:layout>
                <c:manualLayout>
                  <c:x val="0.10647544545849631"/>
                  <c:y val="-3.888024883359253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19-42A7-85CF-BA5DD79D5459}"/>
                </c:ext>
              </c:extLst>
            </c:dLbl>
            <c:dLbl>
              <c:idx val="1"/>
              <c:layout>
                <c:manualLayout>
                  <c:x val="0.11299435028248588"/>
                  <c:y val="3.628823224468634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19-42A7-85CF-BA5DD79D5459}"/>
                </c:ext>
              </c:extLst>
            </c:dLbl>
            <c:dLbl>
              <c:idx val="2"/>
              <c:layout>
                <c:manualLayout>
                  <c:x val="1.5210777922642329E-2"/>
                  <c:y val="-1.03680663556247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19-42A7-85CF-BA5DD79D5459}"/>
                </c:ext>
              </c:extLst>
            </c:dLbl>
            <c:dLbl>
              <c:idx val="3"/>
              <c:layout>
                <c:manualLayout>
                  <c:x val="2.607561929595828E-2"/>
                  <c:y val="-7.776049766718507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19-42A7-85CF-BA5DD79D5459}"/>
                </c:ext>
              </c:extLst>
            </c:dLbl>
            <c:dLbl>
              <c:idx val="4"/>
              <c:layout>
                <c:manualLayout>
                  <c:x val="6.0843111690569315E-2"/>
                  <c:y val="1.03680663556246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19-42A7-85CF-BA5DD79D5459}"/>
                </c:ext>
              </c:extLst>
            </c:dLbl>
            <c:dLbl>
              <c:idx val="5"/>
              <c:layout>
                <c:manualLayout>
                  <c:x val="0.12603215993046502"/>
                  <c:y val="4.14722654224987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19-42A7-85CF-BA5DD79D5459}"/>
                </c:ext>
              </c:extLst>
            </c:dLbl>
            <c:dLbl>
              <c:idx val="6"/>
              <c:layout>
                <c:manualLayout>
                  <c:x val="-2.1729682746632695E-3"/>
                  <c:y val="4.66562986003110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19-42A7-85CF-BA5DD79D5459}"/>
                </c:ext>
              </c:extLst>
            </c:dLbl>
            <c:dLbl>
              <c:idx val="7"/>
              <c:layout>
                <c:manualLayout>
                  <c:x val="-0.1303780964797914"/>
                  <c:y val="-2.59201658890616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19-42A7-85CF-BA5DD79D5459}"/>
                </c:ext>
              </c:extLst>
            </c:dLbl>
            <c:dLbl>
              <c:idx val="9"/>
              <c:layout>
                <c:manualLayout>
                  <c:x val="-0.14341590612777053"/>
                  <c:y val="3.369621565578019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19-42A7-85CF-BA5DD79D5459}"/>
                </c:ext>
              </c:extLst>
            </c:dLbl>
            <c:dLbl>
              <c:idx val="10"/>
              <c:layout>
                <c:manualLayout>
                  <c:x val="-8.4745762711864403E-2"/>
                  <c:y val="-5.44323483670295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19-42A7-85CF-BA5DD79D545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'Sektor PMA'!$A$3:$A$13</c:f>
              <c:strCache>
                <c:ptCount val="11"/>
                <c:pt idx="0">
                  <c:v>Hotel dan Restoran</c:v>
                </c:pt>
                <c:pt idx="1">
                  <c:v>Industri Kayu</c:v>
                </c:pt>
                <c:pt idx="2">
                  <c:v>Industri Logam Dasar, Barang Logam, Bukan Mesin dan Peralatannya</c:v>
                </c:pt>
                <c:pt idx="3">
                  <c:v>Industri Makanan</c:v>
                </c:pt>
                <c:pt idx="4">
                  <c:v>Jasa Lainnya</c:v>
                </c:pt>
                <c:pt idx="5">
                  <c:v>Konstruksi</c:v>
                </c:pt>
                <c:pt idx="6">
                  <c:v>Listrik, Gas dan Air</c:v>
                </c:pt>
                <c:pt idx="7">
                  <c:v>Perdagangan dan Reparasi</c:v>
                </c:pt>
                <c:pt idx="8">
                  <c:v>Pertambangan</c:v>
                </c:pt>
                <c:pt idx="9">
                  <c:v>Tanaman Pangan, Perkebunan, dan Peternakan</c:v>
                </c:pt>
                <c:pt idx="10">
                  <c:v>Transportasi, Gudang dan Telekomunikasi</c:v>
                </c:pt>
              </c:strCache>
            </c:strRef>
          </c:cat>
          <c:val>
            <c:numRef>
              <c:f>'Sektor PMA'!$B$3:$B$13</c:f>
              <c:numCache>
                <c:formatCode>General</c:formatCode>
                <c:ptCount val="11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9-42A7-85CF-BA5DD79D5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41363762938212"/>
          <c:y val="0.2984704861330536"/>
          <c:w val="0.4503167652897429"/>
          <c:h val="0.76264065051112739"/>
        </c:manualLayout>
      </c:layout>
      <c:pieChart>
        <c:varyColors val="1"/>
        <c:ser>
          <c:idx val="0"/>
          <c:order val="0"/>
          <c:tx>
            <c:strRef>
              <c:f>'Sektor Inves Total'!$D$55</c:f>
              <c:strCache>
                <c:ptCount val="1"/>
                <c:pt idx="0">
                  <c:v>% REALISASI INVESTASI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5CA-4297-BBA5-EF5E342862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5CA-4297-BBA5-EF5E342862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CA-4297-BBA5-EF5E342862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5CA-4297-BBA5-EF5E342862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CA-4297-BBA5-EF5E342862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5CA-4297-BBA5-EF5E342862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CA-4297-BBA5-EF5E342862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5CA-4297-BBA5-EF5E342862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C5CA-4297-BBA5-EF5E342862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5CA-4297-BBA5-EF5E342862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5CA-4297-BBA5-EF5E342862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5CA-4297-BBA5-EF5E3428629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5CA-4297-BBA5-EF5E3428629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5CA-4297-BBA5-EF5E3428629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5CA-4297-BBA5-EF5E3428629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5CA-4297-BBA5-EF5E3428629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5CA-4297-BBA5-EF5E3428629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5CA-4297-BBA5-EF5E3428629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CA-4297-BBA5-EF5E3428629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CA-4297-BBA5-EF5E3428629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5CA-4297-BBA5-EF5E34286299}"/>
              </c:ext>
            </c:extLst>
          </c:dPt>
          <c:dLbls>
            <c:dLbl>
              <c:idx val="0"/>
              <c:layout>
                <c:manualLayout>
                  <c:x val="-0.206241742355569"/>
                  <c:y val="-9.76312651929745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5CA-4297-BBA5-EF5E34286299}"/>
                </c:ext>
              </c:extLst>
            </c:dLbl>
            <c:dLbl>
              <c:idx val="1"/>
              <c:layout>
                <c:manualLayout>
                  <c:x val="0.1598946576373213"/>
                  <c:y val="-0.104333868378812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5CA-4297-BBA5-EF5E34286299}"/>
                </c:ext>
              </c:extLst>
            </c:dLbl>
            <c:dLbl>
              <c:idx val="2"/>
              <c:layout>
                <c:manualLayout>
                  <c:x val="0.19501407318053879"/>
                  <c:y val="3.224192299703434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CA-4297-BBA5-EF5E34286299}"/>
                </c:ext>
              </c:extLst>
            </c:dLbl>
            <c:dLbl>
              <c:idx val="3"/>
              <c:layout>
                <c:manualLayout>
                  <c:x val="0.15882589465219141"/>
                  <c:y val="8.57715402481164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075802044647917"/>
                      <c:h val="9.11570743405275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5CA-4297-BBA5-EF5E34286299}"/>
                </c:ext>
              </c:extLst>
            </c:dLbl>
            <c:dLbl>
              <c:idx val="4"/>
              <c:layout>
                <c:manualLayout>
                  <c:x val="-0.13872131672028581"/>
                  <c:y val="0.241064319207289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CA-4297-BBA5-EF5E34286299}"/>
                </c:ext>
              </c:extLst>
            </c:dLbl>
            <c:dLbl>
              <c:idx val="5"/>
              <c:layout>
                <c:manualLayout>
                  <c:x val="-0.19274497431613374"/>
                  <c:y val="0.167113872001954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CA-4297-BBA5-EF5E34286299}"/>
                </c:ext>
              </c:extLst>
            </c:dLbl>
            <c:dLbl>
              <c:idx val="6"/>
              <c:layout>
                <c:manualLayout>
                  <c:x val="-0.28084226492004527"/>
                  <c:y val="9.4622371641747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CA-4297-BBA5-EF5E34286299}"/>
                </c:ext>
              </c:extLst>
            </c:dLbl>
            <c:dLbl>
              <c:idx val="7"/>
              <c:layout>
                <c:manualLayout>
                  <c:x val="-0.20720614635360196"/>
                  <c:y val="2.57851897726267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5CA-4297-BBA5-EF5E34286299}"/>
                </c:ext>
              </c:extLst>
            </c:dLbl>
            <c:dLbl>
              <c:idx val="8"/>
              <c:layout>
                <c:manualLayout>
                  <c:x val="-0.33399690727146691"/>
                  <c:y val="-1.56328071350631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CA-4297-BBA5-EF5E34286299}"/>
                </c:ext>
              </c:extLst>
            </c:dLbl>
            <c:dLbl>
              <c:idx val="9"/>
              <c:layout>
                <c:manualLayout>
                  <c:x val="0.24388297399619616"/>
                  <c:y val="-0.211116728386479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5CA-4297-BBA5-EF5E34286299}"/>
                </c:ext>
              </c:extLst>
            </c:dLbl>
            <c:dLbl>
              <c:idx val="10"/>
              <c:layout>
                <c:manualLayout>
                  <c:x val="0.43168084167244331"/>
                  <c:y val="-0.148621309976702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87345679012345"/>
                      <c:h val="0.136503583119525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5CA-4297-BBA5-EF5E34286299}"/>
                </c:ext>
              </c:extLst>
            </c:dLbl>
            <c:dLbl>
              <c:idx val="11"/>
              <c:layout>
                <c:manualLayout>
                  <c:x val="-0.1329372626390099"/>
                  <c:y val="-0.111007402164617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5CA-4297-BBA5-EF5E34286299}"/>
                </c:ext>
              </c:extLst>
            </c:dLbl>
            <c:dLbl>
              <c:idx val="12"/>
              <c:layout>
                <c:manualLayout>
                  <c:x val="-0.38660632291166763"/>
                  <c:y val="-0.122935335330274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5CA-4297-BBA5-EF5E34286299}"/>
                </c:ext>
              </c:extLst>
            </c:dLbl>
            <c:dLbl>
              <c:idx val="13"/>
              <c:layout>
                <c:manualLayout>
                  <c:x val="4.9168681087550285E-2"/>
                  <c:y val="-0.106916516053470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43115124153494"/>
                      <c:h val="0.138630283574103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5CA-4297-BBA5-EF5E34286299}"/>
                </c:ext>
              </c:extLst>
            </c:dLbl>
            <c:dLbl>
              <c:idx val="14"/>
              <c:layout>
                <c:manualLayout>
                  <c:x val="-0.13745060225259656"/>
                  <c:y val="-0.197355737836141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5CA-4297-BBA5-EF5E34286299}"/>
                </c:ext>
              </c:extLst>
            </c:dLbl>
            <c:dLbl>
              <c:idx val="15"/>
              <c:layout>
                <c:manualLayout>
                  <c:x val="0.30884523322846497"/>
                  <c:y val="-8.280776700665225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5CA-4297-BBA5-EF5E34286299}"/>
                </c:ext>
              </c:extLst>
            </c:dLbl>
            <c:dLbl>
              <c:idx val="16"/>
              <c:layout>
                <c:manualLayout>
                  <c:x val="-0.34509251524146389"/>
                  <c:y val="-0.16112957790388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5CA-4297-BBA5-EF5E34286299}"/>
                </c:ext>
              </c:extLst>
            </c:dLbl>
            <c:dLbl>
              <c:idx val="17"/>
              <c:layout>
                <c:manualLayout>
                  <c:x val="-0.3270323433047167"/>
                  <c:y val="-0.209658834780483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5CA-4297-BBA5-EF5E34286299}"/>
                </c:ext>
              </c:extLst>
            </c:dLbl>
            <c:dLbl>
              <c:idx val="18"/>
              <c:layout>
                <c:manualLayout>
                  <c:x val="0.444170028972112"/>
                  <c:y val="0.100521353370154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CA-4297-BBA5-EF5E34286299}"/>
                </c:ext>
              </c:extLst>
            </c:dLbl>
            <c:dLbl>
              <c:idx val="19"/>
              <c:layout>
                <c:manualLayout>
                  <c:x val="0.22500755407831358"/>
                  <c:y val="-0.164728496016649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CA-4297-BBA5-EF5E34286299}"/>
                </c:ext>
              </c:extLst>
            </c:dLbl>
            <c:dLbl>
              <c:idx val="20"/>
              <c:layout>
                <c:manualLayout>
                  <c:x val="0.42983816498107025"/>
                  <c:y val="-0.1017829232020154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CA-4297-BBA5-EF5E3428629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accent1">
                      <a:lumMod val="7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'Sektor Inves Total'!$C$56:$C$76</c:f>
              <c:strCache>
                <c:ptCount val="21"/>
                <c:pt idx="0">
                  <c:v>Pertambangan</c:v>
                </c:pt>
                <c:pt idx="1">
                  <c:v>Jasa Lainnya</c:v>
                </c:pt>
                <c:pt idx="2">
                  <c:v>Transportasi, Gudang dan Telekomunikasi</c:v>
                </c:pt>
                <c:pt idx="3">
                  <c:v>Hotel dan Restoran</c:v>
                </c:pt>
                <c:pt idx="4">
                  <c:v>Tanaman Pangan, Perkebunan, dan Peternakan</c:v>
                </c:pt>
                <c:pt idx="5">
                  <c:v>Industri Kimia Dan Farmasi</c:v>
                </c:pt>
                <c:pt idx="6">
                  <c:v>Perdagangan dan Reparasi</c:v>
                </c:pt>
                <c:pt idx="7">
                  <c:v>Konstruksi</c:v>
                </c:pt>
                <c:pt idx="8">
                  <c:v>Perumahan, Kawasan Industri dan Perkantoran</c:v>
                </c:pt>
                <c:pt idx="9">
                  <c:v>Industri Makanan</c:v>
                </c:pt>
                <c:pt idx="10">
                  <c:v>Industri  Mesin, Elektronik, Instrumen Kedokteran, Peralatan Listrik, Presisi, Optik dan Jam</c:v>
                </c:pt>
                <c:pt idx="11">
                  <c:v>Perikanan</c:v>
                </c:pt>
                <c:pt idx="12">
                  <c:v>Kehutanan</c:v>
                </c:pt>
                <c:pt idx="13">
                  <c:v>Industri Logam Dasar, Barang Logam, Bukan Mesin dan Peralatannya</c:v>
                </c:pt>
                <c:pt idx="14">
                  <c:v>Listrik, Gas dan Air</c:v>
                </c:pt>
                <c:pt idx="15">
                  <c:v>Industri Karet dan Plastik</c:v>
                </c:pt>
                <c:pt idx="16">
                  <c:v>Industri Lainnya</c:v>
                </c:pt>
                <c:pt idx="17">
                  <c:v>Industri Kertas dan Percetakan</c:v>
                </c:pt>
                <c:pt idx="18">
                  <c:v>Industri Kendaraan Bermotor dan Alat Transportasi Lain</c:v>
                </c:pt>
                <c:pt idx="19">
                  <c:v>Industri Kayu</c:v>
                </c:pt>
                <c:pt idx="20">
                  <c:v>Industri Tekstil</c:v>
                </c:pt>
              </c:strCache>
            </c:strRef>
          </c:cat>
          <c:val>
            <c:numRef>
              <c:f>'Sektor Inves Total'!$D$56:$D$76</c:f>
              <c:numCache>
                <c:formatCode>0.00%</c:formatCode>
                <c:ptCount val="21"/>
                <c:pt idx="0">
                  <c:v>0.59914377157267273</c:v>
                </c:pt>
                <c:pt idx="1">
                  <c:v>2.3693793963915355E-2</c:v>
                </c:pt>
                <c:pt idx="2">
                  <c:v>9.6140657544558222E-2</c:v>
                </c:pt>
                <c:pt idx="3">
                  <c:v>3.5084106202504012E-4</c:v>
                </c:pt>
                <c:pt idx="4" formatCode="General">
                  <c:v>5.1513239448060175E-2</c:v>
                </c:pt>
                <c:pt idx="5">
                  <c:v>1.5676722726665347E-2</c:v>
                </c:pt>
                <c:pt idx="6">
                  <c:v>7.254095763086732E-2</c:v>
                </c:pt>
                <c:pt idx="7" formatCode="General">
                  <c:v>1.0230680434053195E-2</c:v>
                </c:pt>
                <c:pt idx="8" formatCode="General">
                  <c:v>2.3671956122177009E-3</c:v>
                </c:pt>
                <c:pt idx="9">
                  <c:v>5.1485316548622262E-2</c:v>
                </c:pt>
                <c:pt idx="10">
                  <c:v>1.2858344357419968E-3</c:v>
                </c:pt>
                <c:pt idx="11">
                  <c:v>1.2024559787863966E-4</c:v>
                </c:pt>
                <c:pt idx="12">
                  <c:v>3.8186856612479109E-4</c:v>
                </c:pt>
                <c:pt idx="13">
                  <c:v>7.4586714444011312E-2</c:v>
                </c:pt>
                <c:pt idx="14">
                  <c:v>4.4843145492104658E-4</c:v>
                </c:pt>
                <c:pt idx="15">
                  <c:v>3.2485891568919825E-5</c:v>
                </c:pt>
                <c:pt idx="16">
                  <c:v>0</c:v>
                </c:pt>
                <c:pt idx="17">
                  <c:v>0</c:v>
                </c:pt>
                <c:pt idx="18">
                  <c:v>1.2430660958931092E-6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A-4297-BBA5-EF5E342862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81334293047164"/>
          <c:y val="0.30078224707378975"/>
          <c:w val="0.5913262227263143"/>
          <c:h val="0.67075810339104303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C-2620-4F90-8DF0-235C50FC10E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2620-4F90-8DF0-235C50FC10E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A-2620-4F90-8DF0-235C50FC10E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2620-4F90-8DF0-235C50FC10E5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8-2620-4F90-8DF0-235C50FC10E5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2620-4F90-8DF0-235C50FC10E5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2620-4F90-8DF0-235C50FC10E5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6-2620-4F90-8DF0-235C50FC10E5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2620-4F90-8DF0-235C50FC10E5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620-4F90-8DF0-235C50FC10E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2-2620-4F90-8DF0-235C50FC10E5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4-2620-4F90-8DF0-235C50FC10E5}"/>
              </c:ext>
            </c:extLst>
          </c:dPt>
          <c:dLbls>
            <c:dLbl>
              <c:idx val="0"/>
              <c:layout>
                <c:manualLayout>
                  <c:x val="5.54505504034154E-2"/>
                  <c:y val="-0.159313589028544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620-4F90-8DF0-235C50FC10E5}"/>
                </c:ext>
              </c:extLst>
            </c:dLbl>
            <c:dLbl>
              <c:idx val="1"/>
              <c:layout>
                <c:manualLayout>
                  <c:x val="-0.31394275161588181"/>
                  <c:y val="2.88033516627389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20-4F90-8DF0-235C50FC10E5}"/>
                </c:ext>
              </c:extLst>
            </c:dLbl>
            <c:dLbl>
              <c:idx val="2"/>
              <c:layout>
                <c:manualLayout>
                  <c:x val="6.2326869806094184E-2"/>
                  <c:y val="-0.167583136946844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20-4F90-8DF0-235C50FC10E5}"/>
                </c:ext>
              </c:extLst>
            </c:dLbl>
            <c:dLbl>
              <c:idx val="3"/>
              <c:layout>
                <c:manualLayout>
                  <c:x val="-0.44949678641277874"/>
                  <c:y val="-6.80807524746759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521698984302858"/>
                      <c:h val="0.19960722702278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620-4F90-8DF0-235C50FC10E5}"/>
                </c:ext>
              </c:extLst>
            </c:dLbl>
            <c:dLbl>
              <c:idx val="4"/>
              <c:layout>
                <c:manualLayout>
                  <c:x val="-0.27931671283471837"/>
                  <c:y val="-0.1885310290652003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20-4F90-8DF0-235C50FC10E5}"/>
                </c:ext>
              </c:extLst>
            </c:dLbl>
            <c:dLbl>
              <c:idx val="5"/>
              <c:layout>
                <c:manualLayout>
                  <c:x val="-9.9261311172668509E-2"/>
                  <c:y val="-0.191149515579994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20-4F90-8DF0-235C50FC10E5}"/>
                </c:ext>
              </c:extLst>
            </c:dLbl>
            <c:dLbl>
              <c:idx val="6"/>
              <c:layout>
                <c:manualLayout>
                  <c:x val="-5.2078253754411483E-2"/>
                  <c:y val="-0.407718685694278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20-4F90-8DF0-235C50FC10E5}"/>
                </c:ext>
              </c:extLst>
            </c:dLbl>
            <c:dLbl>
              <c:idx val="7"/>
              <c:layout>
                <c:manualLayout>
                  <c:x val="0.26777469990766389"/>
                  <c:y val="-2.09478921183555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20-4F90-8DF0-235C50FC10E5}"/>
                </c:ext>
              </c:extLst>
            </c:dLbl>
            <c:dLbl>
              <c:idx val="8"/>
              <c:layout>
                <c:manualLayout>
                  <c:x val="0.23776546629732209"/>
                  <c:y val="5.23697302958889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20-4F90-8DF0-235C50FC10E5}"/>
                </c:ext>
              </c:extLst>
            </c:dLbl>
            <c:dLbl>
              <c:idx val="9"/>
              <c:layout>
                <c:manualLayout>
                  <c:x val="-3.3640170713002161E-2"/>
                  <c:y val="-0.196470642307078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20-4F90-8DF0-235C50FC10E5}"/>
                </c:ext>
              </c:extLst>
            </c:dLbl>
            <c:dLbl>
              <c:idx val="10"/>
              <c:layout>
                <c:manualLayout>
                  <c:x val="-0.28552971969641933"/>
                  <c:y val="-0.120099313163048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20-4F90-8DF0-235C50FC10E5}"/>
                </c:ext>
              </c:extLst>
            </c:dLbl>
            <c:dLbl>
              <c:idx val="11"/>
              <c:layout>
                <c:manualLayout>
                  <c:x val="3.3759651834332396E-2"/>
                  <c:y val="-0.155392703258860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64173591874423"/>
                      <c:h val="9.11757004451427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620-4F90-8DF0-235C50FC10E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 persektor '!$B$30:$B$41</c:f>
              <c:strCache>
                <c:ptCount val="12"/>
                <c:pt idx="0">
                  <c:v>Industri Logam Dasar, Barang Logam, Bukan Mesin dan Peralatannya</c:v>
                </c:pt>
                <c:pt idx="1">
                  <c:v>Pertambangan</c:v>
                </c:pt>
                <c:pt idx="2">
                  <c:v>Tanaman Pangan, Perkebunan, dan Peternakan</c:v>
                </c:pt>
                <c:pt idx="3">
                  <c:v>Industri Logam Dasar, Barang Logam, Bukan Mesin dan Peralatannya</c:v>
                </c:pt>
                <c:pt idx="4">
                  <c:v>Jasa Lainnya</c:v>
                </c:pt>
                <c:pt idx="5">
                  <c:v>Transportasi, Gudang dan Telekomunikasi</c:v>
                </c:pt>
                <c:pt idx="6">
                  <c:v>Industri Lainnya</c:v>
                </c:pt>
                <c:pt idx="7">
                  <c:v>Listrik, Gas dan Air</c:v>
                </c:pt>
                <c:pt idx="8">
                  <c:v>Hotel dan Restoran</c:v>
                </c:pt>
                <c:pt idx="9">
                  <c:v>Pertambangan</c:v>
                </c:pt>
                <c:pt idx="10">
                  <c:v>Tanaman Pangan, Perkebunan, dan Peternakan</c:v>
                </c:pt>
                <c:pt idx="11">
                  <c:v>Perdagangan dan Reparasi</c:v>
                </c:pt>
              </c:strCache>
            </c:strRef>
          </c:cat>
          <c:val>
            <c:numRef>
              <c:f>'Invest persektor '!$C$30:$C$41</c:f>
              <c:numCache>
                <c:formatCode>0.00%</c:formatCode>
                <c:ptCount val="12"/>
                <c:pt idx="0">
                  <c:v>0.19940932562524555</c:v>
                </c:pt>
                <c:pt idx="1">
                  <c:v>0.29516931263429147</c:v>
                </c:pt>
                <c:pt idx="2">
                  <c:v>5.4213617404629813E-3</c:v>
                </c:pt>
                <c:pt idx="3">
                  <c:v>0.19940932562524555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0.29516931263429147</c:v>
                </c:pt>
                <c:pt idx="10">
                  <c:v>5.4213617404629813E-3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F90-8DF0-235C50FC10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03146729070557"/>
          <c:y val="0.17911791638290112"/>
          <c:w val="0.4671388518578905"/>
          <c:h val="0.74542467905797494"/>
        </c:manualLayout>
      </c:layout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6-6AAC-4C11-9209-13A66D96CC9B}"/>
              </c:ext>
            </c:extLst>
          </c:dPt>
          <c:dPt>
            <c:idx val="1"/>
            <c:bubble3D val="0"/>
            <c:explosion val="1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6AAC-4C11-9209-13A66D96CC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6AAC-4C11-9209-13A66D96CC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8-6AAC-4C11-9209-13A66D96CC9B}"/>
              </c:ext>
            </c:extLst>
          </c:dPt>
          <c:dPt>
            <c:idx val="4"/>
            <c:bubble3D val="0"/>
            <c:explosion val="1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6AAC-4C11-9209-13A66D96CC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4-6AAC-4C11-9209-13A66D96CC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6AAC-4C11-9209-13A66D96CC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C-6AAC-4C11-9209-13A66D96CC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6AAC-4C11-9209-13A66D96CC9B}"/>
              </c:ext>
            </c:extLst>
          </c:dPt>
          <c:dPt>
            <c:idx val="9"/>
            <c:bubble3D val="0"/>
            <c:explosion val="1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A-6AAC-4C11-9209-13A66D96CC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6AAC-4C11-9209-13A66D96CC9B}"/>
              </c:ext>
            </c:extLst>
          </c:dPt>
          <c:dLbls>
            <c:dLbl>
              <c:idx val="0"/>
              <c:layout>
                <c:manualLayout>
                  <c:x val="5.8871295168493709E-2"/>
                  <c:y val="-1.29575639779721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AC-4C11-9209-13A66D96CC9B}"/>
                </c:ext>
              </c:extLst>
            </c:dLbl>
            <c:dLbl>
              <c:idx val="1"/>
              <c:layout>
                <c:manualLayout>
                  <c:x val="9.9472188388144533E-2"/>
                  <c:y val="2.91545189504373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AC-4C11-9209-13A66D96CC9B}"/>
                </c:ext>
              </c:extLst>
            </c:dLbl>
            <c:dLbl>
              <c:idx val="2"/>
              <c:layout>
                <c:manualLayout>
                  <c:x val="4.0600893219650831E-2"/>
                  <c:y val="-6.478781988986011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AC-4C11-9209-13A66D96CC9B}"/>
                </c:ext>
              </c:extLst>
            </c:dLbl>
            <c:dLbl>
              <c:idx val="3"/>
              <c:layout>
                <c:manualLayout>
                  <c:x val="6.0901339829476245E-3"/>
                  <c:y val="-0.116618075801749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AC-4C11-9209-13A66D96CC9B}"/>
                </c:ext>
              </c:extLst>
            </c:dLbl>
            <c:dLbl>
              <c:idx val="4"/>
              <c:layout>
                <c:manualLayout>
                  <c:x val="6.4961429151441333E-2"/>
                  <c:y val="-4.85908649173955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AC-4C11-9209-13A66D96CC9B}"/>
                </c:ext>
              </c:extLst>
            </c:dLbl>
            <c:dLbl>
              <c:idx val="5"/>
              <c:layout>
                <c:manualLayout>
                  <c:x val="-0.12586276898091758"/>
                  <c:y val="-0.126336248785228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AC-4C11-9209-13A66D96CC9B}"/>
                </c:ext>
              </c:extLst>
            </c:dLbl>
            <c:dLbl>
              <c:idx val="6"/>
              <c:layout>
                <c:manualLayout>
                  <c:x val="2.0300446609825377E-2"/>
                  <c:y val="7.4505992873339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AAC-4C11-9209-13A66D96CC9B}"/>
                </c:ext>
              </c:extLst>
            </c:dLbl>
            <c:dLbl>
              <c:idx val="7"/>
              <c:layout>
                <c:manualLayout>
                  <c:x val="-0.15022330491270808"/>
                  <c:y val="-9.718172983479106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AAC-4C11-9209-13A66D96CC9B}"/>
                </c:ext>
              </c:extLst>
            </c:dLbl>
            <c:dLbl>
              <c:idx val="8"/>
              <c:layout>
                <c:manualLayout>
                  <c:x val="-0.17864393016646365"/>
                  <c:y val="-0.310981535471331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AAC-4C11-9209-13A66D96CC9B}"/>
                </c:ext>
              </c:extLst>
            </c:dLbl>
            <c:dLbl>
              <c:idx val="9"/>
              <c:layout>
                <c:manualLayout>
                  <c:x val="-9.9472188388144533E-2"/>
                  <c:y val="-5.83090379008746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AAC-4C11-9209-13A66D96CC9B}"/>
                </c:ext>
              </c:extLst>
            </c:dLbl>
            <c:dLbl>
              <c:idx val="10"/>
              <c:layout>
                <c:manualLayout>
                  <c:x val="-0.19488428745432398"/>
                  <c:y val="0.123096857790735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AC-4C11-9209-13A66D96CC9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'Naker PMA'!$A$4:$A$14</c:f>
              <c:strCache>
                <c:ptCount val="11"/>
                <c:pt idx="0">
                  <c:v>ANUGERAH BAROKAH CAKRAWALA</c:v>
                </c:pt>
                <c:pt idx="1">
                  <c:v>ANUGERAH BAROKAH ENERGI BARU</c:v>
                </c:pt>
                <c:pt idx="2">
                  <c:v>TRANSCOAL MINERGY</c:v>
                </c:pt>
                <c:pt idx="3">
                  <c:v>THIESS CONTRACTORS INDONESIA</c:v>
                </c:pt>
                <c:pt idx="4">
                  <c:v>YIWAN MINING</c:v>
                </c:pt>
                <c:pt idx="5">
                  <c:v>SINGALAND ASETAMA</c:v>
                </c:pt>
                <c:pt idx="6">
                  <c:v>JAYA MANDIRI SUKSES</c:v>
                </c:pt>
                <c:pt idx="7">
                  <c:v>MITRA SETIA TANAH BUMBU</c:v>
                </c:pt>
                <c:pt idx="8">
                  <c:v>CAHAYA ANUGRAH SARANA CATERING</c:v>
                </c:pt>
                <c:pt idx="9">
                  <c:v>VKS DRILLTEK INDO</c:v>
                </c:pt>
                <c:pt idx="10">
                  <c:v>TOUDANO MANDIRI ABADI</c:v>
                </c:pt>
              </c:strCache>
            </c:strRef>
          </c:cat>
          <c:val>
            <c:numRef>
              <c:f>'Naker PMA'!$B$4:$B$14</c:f>
              <c:numCache>
                <c:formatCode>General</c:formatCode>
                <c:ptCount val="11"/>
                <c:pt idx="0">
                  <c:v>0</c:v>
                </c:pt>
                <c:pt idx="1">
                  <c:v>31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121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C-4C11-9209-13A66D96CC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24507874015753"/>
          <c:y val="0.27286807030413462"/>
          <c:w val="0.57340902310582831"/>
          <c:h val="0.67464953432286034"/>
        </c:manualLayout>
      </c:layout>
      <c:pieChart>
        <c:varyColors val="1"/>
        <c:ser>
          <c:idx val="0"/>
          <c:order val="0"/>
          <c:spPr>
            <a:ln>
              <a:solidFill>
                <a:schemeClr val="accent1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D7-4AF4-A4A5-91388337D02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D7-4AF4-A4A5-91388337D02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0D7-4AF4-A4A5-91388337D02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0D7-4AF4-A4A5-91388337D02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0D7-4AF4-A4A5-91388337D023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0D7-4AF4-A4A5-91388337D023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0D7-4AF4-A4A5-91388337D023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0D7-4AF4-A4A5-91388337D023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D7-4AF4-A4A5-91388337D023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D7-4AF4-A4A5-91388337D0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D7-4AF4-A4A5-91388337D02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0D7-4AF4-A4A5-91388337D02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0D7-4AF4-A4A5-91388337D02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0D7-4AF4-A4A5-91388337D023}"/>
                </c:ext>
              </c:extLst>
            </c:dLbl>
            <c:dLbl>
              <c:idx val="3"/>
              <c:layout>
                <c:manualLayout>
                  <c:x val="9.1528309919114523E-2"/>
                  <c:y val="-0.165289256198347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0D7-4AF4-A4A5-91388337D023}"/>
                </c:ext>
              </c:extLst>
            </c:dLbl>
            <c:dLbl>
              <c:idx val="4"/>
              <c:layout>
                <c:manualLayout>
                  <c:x val="-0.38739889314601961"/>
                  <c:y val="-5.25920360631104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0D7-4AF4-A4A5-91388337D023}"/>
                </c:ext>
              </c:extLst>
            </c:dLbl>
            <c:dLbl>
              <c:idx val="5"/>
              <c:layout>
                <c:manualLayout>
                  <c:x val="-0.27985121391076118"/>
                  <c:y val="-0.1828199348860505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D7-4AF4-A4A5-91388337D023}"/>
                </c:ext>
              </c:extLst>
            </c:dLbl>
            <c:dLbl>
              <c:idx val="6"/>
              <c:layout>
                <c:manualLayout>
                  <c:x val="0.26181353767560656"/>
                  <c:y val="8.26446280991735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0D7-4AF4-A4A5-91388337D023}"/>
                </c:ext>
              </c:extLst>
            </c:dLbl>
            <c:dLbl>
              <c:idx val="7"/>
              <c:layout>
                <c:manualLayout>
                  <c:x val="0.41294167730949338"/>
                  <c:y val="4.25745053844227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D7-4AF4-A4A5-91388337D023}"/>
                </c:ext>
              </c:extLst>
            </c:dLbl>
            <c:dLbl>
              <c:idx val="8"/>
              <c:layout>
                <c:manualLayout>
                  <c:x val="0.41081311196253723"/>
                  <c:y val="-3.50613573754069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D7-4AF4-A4A5-91388337D023}"/>
                </c:ext>
              </c:extLst>
            </c:dLbl>
            <c:dLbl>
              <c:idx val="9"/>
              <c:layout>
                <c:manualLayout>
                  <c:x val="-0.43590354330708664"/>
                  <c:y val="5.00876533934385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D7-4AF4-A4A5-91388337D023}"/>
                </c:ext>
              </c:extLst>
            </c:dLbl>
            <c:dLbl>
              <c:idx val="10"/>
              <c:layout>
                <c:manualLayout>
                  <c:x val="-0.26806348425196852"/>
                  <c:y val="1.5026296018031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D7-4AF4-A4A5-91388337D02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'Naker PMA'!$A$19:$A$29</c:f>
              <c:strCache>
                <c:ptCount val="11"/>
                <c:pt idx="0">
                  <c:v>ANUGERAH BAROKAH CAKRAWALA</c:v>
                </c:pt>
                <c:pt idx="1">
                  <c:v>ANUGERAH BAROKAH ENERGI BARU</c:v>
                </c:pt>
                <c:pt idx="2">
                  <c:v>TRANSCOAL MINERGY</c:v>
                </c:pt>
                <c:pt idx="3">
                  <c:v>THIESS CONTRACTORS INDONESIA</c:v>
                </c:pt>
                <c:pt idx="4">
                  <c:v>YIWAN MINING</c:v>
                </c:pt>
                <c:pt idx="5">
                  <c:v>SINGALAND ASETAMA</c:v>
                </c:pt>
                <c:pt idx="6">
                  <c:v>JAYA MANDIRI SUKSES</c:v>
                </c:pt>
                <c:pt idx="7">
                  <c:v>MITRA SETIA TANAH BUMBU</c:v>
                </c:pt>
                <c:pt idx="8">
                  <c:v>CAHAYA ANUGRAH SARANA CATERING</c:v>
                </c:pt>
                <c:pt idx="9">
                  <c:v>VKS DRILLTEK INDO</c:v>
                </c:pt>
                <c:pt idx="10">
                  <c:v>TOUDANO MANDIRI ABADI</c:v>
                </c:pt>
              </c:strCache>
            </c:strRef>
          </c:cat>
          <c:val>
            <c:numRef>
              <c:f>'Naker PMA'!$B$19:$B$29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54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7-4AF4-A4A5-91388337D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006831061953377E-2"/>
          <c:y val="0"/>
          <c:w val="0.93899316893804663"/>
          <c:h val="0.90558718418676576"/>
        </c:manualLayout>
      </c:layout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prstMaterial="flat">
              <a:bevelT w="88900"/>
              <a:contourClr>
                <a:srgbClr val="000000"/>
              </a:contourClr>
            </a:sp3d>
          </c:spPr>
          <c:explosion val="1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bg1"/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bevelT w="88900"/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5A-4E4B-AE68-29AFF824D9E3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bevelT w="88900"/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25A-4E4B-AE68-29AFF824D9E3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25A-4E4B-AE68-29AFF824D9E3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25A-4E4B-AE68-29AFF824D9E3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'Naker PMDN'!$G$21:$G$22</c:f>
              <c:strCache>
                <c:ptCount val="2"/>
                <c:pt idx="0">
                  <c:v>TKA</c:v>
                </c:pt>
                <c:pt idx="1">
                  <c:v>TKI</c:v>
                </c:pt>
              </c:strCache>
            </c:strRef>
          </c:cat>
          <c:val>
            <c:numRef>
              <c:f>'Naker PMDN'!$H$21:$H$22</c:f>
              <c:numCache>
                <c:formatCode>General</c:formatCode>
                <c:ptCount val="2"/>
                <c:pt idx="0">
                  <c:v>0</c:v>
                </c:pt>
                <c:pt idx="1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A-4E4B-AE68-29AFF824D9E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727973409061986"/>
          <c:y val="0.1380870552701613"/>
          <c:w val="0.80015155988394515"/>
          <c:h val="0.7693904353796817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'TW2 24 VS 25'!$C$3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33CC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CE4B-47AA-B191-DC5D576E18B9}"/>
              </c:ext>
            </c:extLst>
          </c:dPt>
          <c:cat>
            <c:strRef>
              <c:f>'TW2 24 VS 25'!$B$4:$B$5</c:f>
              <c:strCache>
                <c:ptCount val="2"/>
                <c:pt idx="0">
                  <c:v>TW 2 2024</c:v>
                </c:pt>
                <c:pt idx="1">
                  <c:v>TW 2 2025</c:v>
                </c:pt>
              </c:strCache>
            </c:strRef>
          </c:cat>
          <c:val>
            <c:numRef>
              <c:f>'TW2 24 VS 25'!$C$4:$C$5</c:f>
              <c:numCache>
                <c:formatCode>_-* #,##0_-;\-* #,##0_-;_-* "-"_-;_-@_-</c:formatCode>
                <c:ptCount val="2"/>
                <c:pt idx="0">
                  <c:v>993876060000</c:v>
                </c:pt>
                <c:pt idx="1">
                  <c:v>1897736320192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B-47AA-B191-DC5D576E1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5860399"/>
        <c:axId val="593208719"/>
        <c:axId val="0"/>
      </c:bar3DChart>
      <c:catAx>
        <c:axId val="75586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08719"/>
        <c:crosses val="autoZero"/>
        <c:auto val="1"/>
        <c:lblAlgn val="ctr"/>
        <c:lblOffset val="100"/>
        <c:noMultiLvlLbl val="0"/>
      </c:catAx>
      <c:valAx>
        <c:axId val="59320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60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912875471712833"/>
          <c:y val="0.14746674051392214"/>
          <c:w val="0.74584682868563257"/>
          <c:h val="0.690687171371929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'TW2 24 VS 25'!$J$3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65100" prst="coolSlant"/>
            </a:sp3d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65100" prst="coolSlant"/>
              </a:sp3d>
            </c:spPr>
            <c:extLst>
              <c:ext xmlns:c16="http://schemas.microsoft.com/office/drawing/2014/chart" uri="{C3380CC4-5D6E-409C-BE32-E72D297353CC}">
                <c16:uniqueId val="{00000001-1CC0-485D-A235-F54B730AAF2C}"/>
              </c:ext>
            </c:extLst>
          </c:dPt>
          <c:cat>
            <c:strRef>
              <c:f>'TW2 24 VS 25'!$I$4:$I$6</c:f>
              <c:strCache>
                <c:ptCount val="3"/>
                <c:pt idx="0">
                  <c:v>TW 1 2025</c:v>
                </c:pt>
                <c:pt idx="1">
                  <c:v>TW 2 2025</c:v>
                </c:pt>
                <c:pt idx="2">
                  <c:v>TW 3 2025</c:v>
                </c:pt>
              </c:strCache>
            </c:strRef>
          </c:cat>
          <c:val>
            <c:numRef>
              <c:f>'TW2 24 VS 25'!$J$4:$J$6</c:f>
              <c:numCache>
                <c:formatCode>_-* #,##0_-;\-* #,##0_-;_-* "-"_-;_-@_-</c:formatCode>
                <c:ptCount val="3"/>
                <c:pt idx="0">
                  <c:v>2809261000000</c:v>
                </c:pt>
                <c:pt idx="1">
                  <c:v>1897736320192</c:v>
                </c:pt>
                <c:pt idx="2">
                  <c:v>20111561310051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0-485D-A235-F54B730AA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7555791"/>
        <c:axId val="593214543"/>
        <c:axId val="0"/>
      </c:bar3DChart>
      <c:catAx>
        <c:axId val="101755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14543"/>
        <c:crosses val="autoZero"/>
        <c:auto val="1"/>
        <c:lblAlgn val="ctr"/>
        <c:lblOffset val="100"/>
        <c:noMultiLvlLbl val="0"/>
      </c:catAx>
      <c:valAx>
        <c:axId val="5932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55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'UMK VS NON UMK'!$B$3</c:f>
              <c:strCache>
                <c:ptCount val="1"/>
                <c:pt idx="0">
                  <c:v>JUMLAH PROYEK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2-DD59-415D-8AA2-A040D12A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DD59-415D-8AA2-A040D12AE39A}"/>
              </c:ext>
            </c:extLst>
          </c:dPt>
          <c:dLbls>
            <c:dLbl>
              <c:idx val="0"/>
              <c:layout>
                <c:manualLayout>
                  <c:x val="1.1111111111111009E-2"/>
                  <c:y val="-0.199074074074074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59-415D-8AA2-A040D12AE39A}"/>
                </c:ext>
              </c:extLst>
            </c:dLbl>
            <c:dLbl>
              <c:idx val="1"/>
              <c:layout>
                <c:manualLayout>
                  <c:x val="-1.6666666666666666E-2"/>
                  <c:y val="0.1805555555555554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59-415D-8AA2-A040D12AE39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'UMK VS NON UMK'!$A$4:$A$5</c:f>
              <c:strCache>
                <c:ptCount val="2"/>
                <c:pt idx="0">
                  <c:v>UMK</c:v>
                </c:pt>
                <c:pt idx="1">
                  <c:v>NON UMK</c:v>
                </c:pt>
              </c:strCache>
            </c:strRef>
          </c:cat>
          <c:val>
            <c:numRef>
              <c:f>'UMK VS NON UMK'!$B$4:$B$5</c:f>
              <c:numCache>
                <c:formatCode>General</c:formatCode>
                <c:ptCount val="2"/>
                <c:pt idx="0">
                  <c:v>503</c:v>
                </c:pt>
                <c:pt idx="1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9-415D-8AA2-A040D12AE3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35628035149161"/>
          <c:y val="0.14109932399929109"/>
          <c:w val="0.49398032885828758"/>
          <c:h val="0.69993782931474402"/>
        </c:manualLayout>
      </c:layout>
      <c:pieChart>
        <c:varyColors val="1"/>
        <c:ser>
          <c:idx val="0"/>
          <c:order val="0"/>
          <c:tx>
            <c:strRef>
              <c:f>'UMK VS NON UMK'!$B$21</c:f>
              <c:strCache>
                <c:ptCount val="1"/>
                <c:pt idx="0">
                  <c:v>INVESTASI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65100" prst="coolSlant"/>
              <a:bevelB/>
            </a:sp3d>
          </c:spPr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65100" prst="coolSlant"/>
                <a:bevelB/>
              </a:sp3d>
            </c:spPr>
            <c:extLst>
              <c:ext xmlns:c16="http://schemas.microsoft.com/office/drawing/2014/chart" uri="{C3380CC4-5D6E-409C-BE32-E72D297353CC}">
                <c16:uniqueId val="{00000003-270F-4A4A-8998-EAA83B034B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  <a:bevelB/>
              </a:sp3d>
            </c:spPr>
            <c:extLst>
              <c:ext xmlns:c16="http://schemas.microsoft.com/office/drawing/2014/chart" uri="{C3380CC4-5D6E-409C-BE32-E72D297353CC}">
                <c16:uniqueId val="{00000002-270F-4A4A-8998-EAA83B034B17}"/>
              </c:ext>
            </c:extLst>
          </c:dPt>
          <c:dLbls>
            <c:dLbl>
              <c:idx val="0"/>
              <c:layout>
                <c:manualLayout>
                  <c:x val="0.18658598083711547"/>
                  <c:y val="2.50089317613433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0F-4A4A-8998-EAA83B034B17}"/>
                </c:ext>
              </c:extLst>
            </c:dLbl>
            <c:dLbl>
              <c:idx val="1"/>
              <c:layout>
                <c:manualLayout>
                  <c:x val="0.32274321893575708"/>
                  <c:y val="-9.28903179707038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80433686333832"/>
                      <c:h val="0.141532830904175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70F-4A4A-8998-EAA83B034B1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'UMK VS NON UMK'!$A$22:$A$23</c:f>
              <c:strCache>
                <c:ptCount val="2"/>
                <c:pt idx="0">
                  <c:v>UMK</c:v>
                </c:pt>
                <c:pt idx="1">
                  <c:v>NON UMK</c:v>
                </c:pt>
              </c:strCache>
            </c:strRef>
          </c:cat>
          <c:val>
            <c:numRef>
              <c:f>'UMK VS NON UMK'!$B$22:$B$23</c:f>
              <c:numCache>
                <c:formatCode>_-* #,##0_-;\-* #,##0_-;_-* "-"_-;_-@_-</c:formatCode>
                <c:ptCount val="2"/>
                <c:pt idx="0">
                  <c:v>8010410198</c:v>
                </c:pt>
                <c:pt idx="1">
                  <c:v>1889725909994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A4A-8998-EAA83B034B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'Target VS TW 2'!$A$5</c:f>
              <c:strCache>
                <c:ptCount val="1"/>
                <c:pt idx="0">
                  <c:v>Capaian Investasi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097B-4D11-B09F-0174FF192785}"/>
              </c:ext>
            </c:extLst>
          </c:dPt>
          <c:cat>
            <c:strRef>
              <c:f>'Target VS TW 2'!$A$4:$C$4</c:f>
              <c:strCache>
                <c:ptCount val="1"/>
                <c:pt idx="0">
                  <c:v>Realisasi Sampai Dengan TW 2</c:v>
                </c:pt>
              </c:strCache>
            </c:strRef>
          </c:cat>
          <c:val>
            <c:numRef>
              <c:f>'Target VS TW 2'!$B$5:$C$5</c:f>
              <c:numCache>
                <c:formatCode>_-* #,##0_-;\-* #,##0_-;_-* "-"_-;_-@_-</c:formatCode>
                <c:ptCount val="2"/>
                <c:pt idx="0">
                  <c:v>4706997320192</c:v>
                </c:pt>
                <c:pt idx="1">
                  <c:v>7189576000000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B-4D11-B09F-0174FF19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8239999"/>
        <c:axId val="807174623"/>
        <c:axId val="0"/>
      </c:bar3DChart>
      <c:catAx>
        <c:axId val="92823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74623"/>
        <c:crosses val="autoZero"/>
        <c:auto val="1"/>
        <c:lblAlgn val="ctr"/>
        <c:lblOffset val="100"/>
        <c:noMultiLvlLbl val="0"/>
      </c:catAx>
      <c:valAx>
        <c:axId val="8071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39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7</xdr:row>
      <xdr:rowOff>11430</xdr:rowOff>
    </xdr:from>
    <xdr:to>
      <xdr:col>12</xdr:col>
      <xdr:colOff>60960</xdr:colOff>
      <xdr:row>22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72F8E3-1EA7-4F13-BD1E-88638FF7D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214912</xdr:colOff>
      <xdr:row>2</xdr:row>
      <xdr:rowOff>35278</xdr:rowOff>
    </xdr:from>
    <xdr:to>
      <xdr:col>17</xdr:col>
      <xdr:colOff>329212</xdr:colOff>
      <xdr:row>23</xdr:row>
      <xdr:rowOff>17639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221065-8354-4F6D-9584-5BE862C94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504359</xdr:colOff>
      <xdr:row>26</xdr:row>
      <xdr:rowOff>33480</xdr:rowOff>
    </xdr:from>
    <xdr:to>
      <xdr:col>16</xdr:col>
      <xdr:colOff>580560</xdr:colOff>
      <xdr:row>47</xdr:row>
      <xdr:rowOff>118893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FF76F-EC38-492C-9029-4F876B35D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331352</xdr:colOff>
      <xdr:row>6</xdr:row>
      <xdr:rowOff>130744</xdr:rowOff>
    </xdr:from>
    <xdr:to>
      <xdr:col>14</xdr:col>
      <xdr:colOff>255151</xdr:colOff>
      <xdr:row>26</xdr:row>
      <xdr:rowOff>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BB03DE-4F8B-49B7-8A55-58B168301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129479</xdr:colOff>
      <xdr:row>32</xdr:row>
      <xdr:rowOff>18529</xdr:rowOff>
    </xdr:from>
    <xdr:to>
      <xdr:col>14</xdr:col>
      <xdr:colOff>130062</xdr:colOff>
      <xdr:row>53</xdr:row>
      <xdr:rowOff>30602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E5A39-5BFF-46B3-9BE4-77AD3F4DC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556985</xdr:colOff>
      <xdr:row>26</xdr:row>
      <xdr:rowOff>156573</xdr:rowOff>
    </xdr:from>
    <xdr:to>
      <xdr:col>18</xdr:col>
      <xdr:colOff>390796</xdr:colOff>
      <xdr:row>47</xdr:row>
      <xdr:rowOff>175623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2B1E7-CBC0-4A44-9BC1-72FA11438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213360</xdr:colOff>
      <xdr:row>1</xdr:row>
      <xdr:rowOff>118110</xdr:rowOff>
    </xdr:from>
    <xdr:to>
      <xdr:col>18</xdr:col>
      <xdr:colOff>518160</xdr:colOff>
      <xdr:row>24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A7E23C-2BAB-4AB9-B8E6-BA6AE6988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549443</xdr:colOff>
      <xdr:row>2</xdr:row>
      <xdr:rowOff>163621</xdr:rowOff>
    </xdr:from>
    <xdr:to>
      <xdr:col>21</xdr:col>
      <xdr:colOff>253616</xdr:colOff>
      <xdr:row>17</xdr:row>
      <xdr:rowOff>163619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6B809-D790-4F4A-9BFC-1B742AD90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97601</xdr:colOff>
      <xdr:row>3</xdr:row>
      <xdr:rowOff>156610</xdr:rowOff>
    </xdr:from>
    <xdr:to>
      <xdr:col>13</xdr:col>
      <xdr:colOff>39181</xdr:colOff>
      <xdr:row>21</xdr:row>
      <xdr:rowOff>27785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3C8D32-4D9C-48DD-9E98-342559ADD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45184</xdr:colOff>
      <xdr:row>1</xdr:row>
      <xdr:rowOff>181182</xdr:rowOff>
    </xdr:from>
    <xdr:to>
      <xdr:col>13</xdr:col>
      <xdr:colOff>328012</xdr:colOff>
      <xdr:row>27</xdr:row>
      <xdr:rowOff>110648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09503-6BA4-4831-90B2-28EE900EE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289858</xdr:colOff>
      <xdr:row>1</xdr:row>
      <xdr:rowOff>114899</xdr:rowOff>
    </xdr:from>
    <xdr:to>
      <xdr:col>23</xdr:col>
      <xdr:colOff>13072</xdr:colOff>
      <xdr:row>16</xdr:row>
      <xdr:rowOff>114898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3E5B2-BA94-4B54-A9A9-DC309C628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165423</xdr:colOff>
      <xdr:row>16</xdr:row>
      <xdr:rowOff>74467</xdr:rowOff>
    </xdr:from>
    <xdr:to>
      <xdr:col>11</xdr:col>
      <xdr:colOff>470223</xdr:colOff>
      <xdr:row>31</xdr:row>
      <xdr:rowOff>168265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6F5C9-C67C-4FF0-BD28-87C3E33F8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169373</xdr:colOff>
      <xdr:row>0</xdr:row>
      <xdr:rowOff>47555</xdr:rowOff>
    </xdr:from>
    <xdr:to>
      <xdr:col>11</xdr:col>
      <xdr:colOff>474173</xdr:colOff>
      <xdr:row>15</xdr:row>
      <xdr:rowOff>47554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2B8FF8-F514-4866-8AA1-7BDDE106B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423335</xdr:colOff>
      <xdr:row>20</xdr:row>
      <xdr:rowOff>84667</xdr:rowOff>
    </xdr:from>
    <xdr:to>
      <xdr:col>17</xdr:col>
      <xdr:colOff>347982</xdr:colOff>
      <xdr:row>52</xdr:row>
      <xdr:rowOff>112606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5A6A4-F59C-4BDC-84F9-DD08E51A0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2</xdr:row>
      <xdr:rowOff>7620</xdr:rowOff>
    </xdr:from>
    <xdr:to>
      <xdr:col>14</xdr:col>
      <xdr:colOff>449580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1E984-5B5D-482F-BE9C-8C827D88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9432</xdr:colOff>
      <xdr:row>53</xdr:row>
      <xdr:rowOff>132906</xdr:rowOff>
    </xdr:from>
    <xdr:to>
      <xdr:col>15</xdr:col>
      <xdr:colOff>132907</xdr:colOff>
      <xdr:row>75</xdr:row>
      <xdr:rowOff>14766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0063C-B7A1-4D21-B3F6-B1F028EC3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311441</xdr:colOff>
      <xdr:row>26</xdr:row>
      <xdr:rowOff>39880</xdr:rowOff>
    </xdr:from>
    <xdr:to>
      <xdr:col>15</xdr:col>
      <xdr:colOff>358034</xdr:colOff>
      <xdr:row>49</xdr:row>
      <xdr:rowOff>163625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A9A4AD-CAC0-483F-930C-CDFF28316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594924</xdr:colOff>
      <xdr:row>0</xdr:row>
      <xdr:rowOff>0</xdr:rowOff>
    </xdr:from>
    <xdr:to>
      <xdr:col>16</xdr:col>
      <xdr:colOff>150182</xdr:colOff>
      <xdr:row>21</xdr:row>
      <xdr:rowOff>81280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DA4399-253F-4D3A-A87D-5F0FDE765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88232</xdr:colOff>
      <xdr:row>24</xdr:row>
      <xdr:rowOff>141212</xdr:rowOff>
    </xdr:from>
    <xdr:to>
      <xdr:col>13</xdr:col>
      <xdr:colOff>88232</xdr:colOff>
      <xdr:row>52</xdr:row>
      <xdr:rowOff>91682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E8A21-7C93-4C55-8C24-B995D8866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644514</xdr:colOff>
      <xdr:row>2</xdr:row>
      <xdr:rowOff>23434</xdr:rowOff>
    </xdr:from>
    <xdr:to>
      <xdr:col>10</xdr:col>
      <xdr:colOff>198546</xdr:colOff>
      <xdr:row>17</xdr:row>
      <xdr:rowOff>52009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5234F-6D96-413D-A5F8-06AB449FA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85481</xdr:colOff>
      <xdr:row>7</xdr:row>
      <xdr:rowOff>122115</xdr:rowOff>
    </xdr:from>
    <xdr:to>
      <xdr:col>7</xdr:col>
      <xdr:colOff>316522</xdr:colOff>
      <xdr:row>28</xdr:row>
      <xdr:rowOff>146539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A4D033-6978-45B7-ABAD-F4C611F98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588694</xdr:colOff>
      <xdr:row>8</xdr:row>
      <xdr:rowOff>585</xdr:rowOff>
    </xdr:from>
    <xdr:to>
      <xdr:col>14</xdr:col>
      <xdr:colOff>109904</xdr:colOff>
      <xdr:row>30</xdr:row>
      <xdr:rowOff>134327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59C397-B30B-41CA-A6FD-7CDB46326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1</xdr:row>
      <xdr:rowOff>87630</xdr:rowOff>
    </xdr:from>
    <xdr:to>
      <xdr:col>11</xdr:col>
      <xdr:colOff>388620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A5C35-0599-4896-ADA4-20A95776C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586740</xdr:colOff>
      <xdr:row>16</xdr:row>
      <xdr:rowOff>144780</xdr:rowOff>
    </xdr:from>
    <xdr:to>
      <xdr:col>10</xdr:col>
      <xdr:colOff>91440</xdr:colOff>
      <xdr:row>33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BFE8AB-1BD4-4F84-8BB2-3E26F7CDE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1</xdr:row>
      <xdr:rowOff>133350</xdr:rowOff>
    </xdr:from>
    <xdr:to>
      <xdr:col>11</xdr:col>
      <xdr:colOff>137160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B0640-1ACC-45ED-8D9F-DF9EC1467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SS\Data%20Hasil\TW%203%20Tanah%20Bumbu.xlsx" TargetMode="External"/><Relationship Id="rId1" Type="http://schemas.openxmlformats.org/officeDocument/2006/relationships/externalLinkPath" Target="TW%203%20Tanah%20Bumb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MA"/>
      <sheetName val="PMDN"/>
      <sheetName val="TOTAL KESELURUHAN"/>
    </sheetNames>
    <sheetDataSet>
      <sheetData sheetId="0">
        <row r="1">
          <cell r="AF1" t="str">
            <v>Kecamatan</v>
          </cell>
        </row>
        <row r="2">
          <cell r="F2" t="str">
            <v>Industri Logam Dasar, Barang Logam, Bukan Mesin dan Peralatannya</v>
          </cell>
          <cell r="H2" t="str">
            <v>ANUGERAH BAROKAH CAKRAWALA</v>
          </cell>
          <cell r="S2">
            <v>658860000000</v>
          </cell>
          <cell r="T2">
            <v>900779394479</v>
          </cell>
          <cell r="U2" t="str">
            <v>Hongkong, RRT</v>
          </cell>
          <cell r="W2">
            <v>1</v>
          </cell>
          <cell r="X2">
            <v>0</v>
          </cell>
          <cell r="Y2">
            <v>0</v>
          </cell>
          <cell r="AF2" t="str">
            <v>Simpang Empat</v>
          </cell>
        </row>
        <row r="3">
          <cell r="F3" t="str">
            <v>Industri Logam Dasar, Barang Logam, Bukan Mesin dan Peralatannya</v>
          </cell>
          <cell r="H3" t="str">
            <v>ANUGERAH BAROKAH ENERGI BARU</v>
          </cell>
          <cell r="S3">
            <v>597727800000</v>
          </cell>
          <cell r="T3">
            <v>599173640844</v>
          </cell>
          <cell r="U3" t="str">
            <v>Hongkong, RRT</v>
          </cell>
          <cell r="W3">
            <v>1</v>
          </cell>
          <cell r="X3">
            <v>31</v>
          </cell>
          <cell r="Y3">
            <v>6</v>
          </cell>
          <cell r="AF3" t="str">
            <v>Simpang Empat</v>
          </cell>
        </row>
        <row r="4">
          <cell r="F4" t="str">
            <v>Pertambangan</v>
          </cell>
          <cell r="H4" t="str">
            <v>TRANSCOAL MINERGY</v>
          </cell>
          <cell r="S4">
            <v>386005652284</v>
          </cell>
          <cell r="T4">
            <v>1730903276552</v>
          </cell>
          <cell r="U4" t="str">
            <v>Singapura</v>
          </cell>
          <cell r="W4">
            <v>1</v>
          </cell>
          <cell r="X4">
            <v>20</v>
          </cell>
          <cell r="Y4">
            <v>54</v>
          </cell>
          <cell r="AF4" t="str">
            <v>Mantewe</v>
          </cell>
        </row>
        <row r="5">
          <cell r="F5" t="str">
            <v>Pertambangan</v>
          </cell>
          <cell r="H5" t="str">
            <v>THIESS CONTRACTORS INDONESIA</v>
          </cell>
          <cell r="S5">
            <v>7702450826</v>
          </cell>
          <cell r="T5">
            <v>451943072762</v>
          </cell>
          <cell r="U5" t="str">
            <v>Singapura</v>
          </cell>
          <cell r="W5">
            <v>1</v>
          </cell>
          <cell r="X5">
            <v>0</v>
          </cell>
          <cell r="Y5">
            <v>0</v>
          </cell>
          <cell r="AF5" t="str">
            <v>Satui</v>
          </cell>
        </row>
        <row r="6">
          <cell r="F6" t="str">
            <v>Pertambangan</v>
          </cell>
          <cell r="H6" t="str">
            <v>YIWAN MINING</v>
          </cell>
          <cell r="S6">
            <v>3128481473</v>
          </cell>
          <cell r="T6">
            <v>26958245615</v>
          </cell>
          <cell r="U6" t="str">
            <v>R.R. Tiongkok</v>
          </cell>
          <cell r="W6">
            <v>1</v>
          </cell>
          <cell r="X6">
            <v>0</v>
          </cell>
          <cell r="Y6">
            <v>0</v>
          </cell>
          <cell r="AF6" t="str">
            <v>Simpang Empat</v>
          </cell>
        </row>
        <row r="7">
          <cell r="F7" t="str">
            <v>Tanaman Pangan, Perkebunan, dan Peternakan</v>
          </cell>
          <cell r="H7" t="str">
            <v>SINGALAND ASETAMA</v>
          </cell>
          <cell r="S7">
            <v>198009376</v>
          </cell>
          <cell r="T7">
            <v>37198927864</v>
          </cell>
          <cell r="U7" t="str">
            <v>Singapura</v>
          </cell>
          <cell r="W7">
            <v>1</v>
          </cell>
          <cell r="X7">
            <v>121</v>
          </cell>
          <cell r="Y7">
            <v>0</v>
          </cell>
          <cell r="AF7" t="str">
            <v>Batu Licin</v>
          </cell>
        </row>
        <row r="8">
          <cell r="F8" t="str">
            <v>Jasa Lainnya</v>
          </cell>
          <cell r="H8" t="str">
            <v>THIESS CONTRACTORS INDONESIA</v>
          </cell>
          <cell r="S8">
            <v>0</v>
          </cell>
          <cell r="T8">
            <v>0</v>
          </cell>
          <cell r="U8" t="str">
            <v>Singapura</v>
          </cell>
          <cell r="W8">
            <v>1</v>
          </cell>
          <cell r="X8">
            <v>0</v>
          </cell>
          <cell r="Y8">
            <v>0</v>
          </cell>
          <cell r="AF8" t="str">
            <v>Satui</v>
          </cell>
        </row>
        <row r="9">
          <cell r="F9" t="str">
            <v>Transportasi, Gudang dan Telekomunikasi</v>
          </cell>
          <cell r="H9" t="str">
            <v>ANUGERAH BAROKAH CAKRAWALA</v>
          </cell>
          <cell r="S9">
            <v>0</v>
          </cell>
          <cell r="T9">
            <v>0</v>
          </cell>
          <cell r="U9" t="str">
            <v>Hongkong, RRT</v>
          </cell>
          <cell r="W9">
            <v>1</v>
          </cell>
          <cell r="X9">
            <v>0</v>
          </cell>
          <cell r="Y9">
            <v>0</v>
          </cell>
          <cell r="AF9" t="str">
            <v>Simpang Empat</v>
          </cell>
        </row>
        <row r="10">
          <cell r="F10" t="str">
            <v>Industri Lainnya</v>
          </cell>
          <cell r="H10" t="str">
            <v>ANUGERAH BAROKAH CAKRAWALA</v>
          </cell>
          <cell r="S10">
            <v>0</v>
          </cell>
          <cell r="T10">
            <v>0</v>
          </cell>
          <cell r="U10" t="str">
            <v>Hongkong, RRT</v>
          </cell>
          <cell r="W10">
            <v>1</v>
          </cell>
          <cell r="X10">
            <v>0</v>
          </cell>
          <cell r="Y10">
            <v>0</v>
          </cell>
          <cell r="AF10" t="str">
            <v>Simpang Empat</v>
          </cell>
        </row>
        <row r="11">
          <cell r="F11" t="str">
            <v>Listrik, Gas dan Air</v>
          </cell>
          <cell r="H11" t="str">
            <v>ANUGERAH BAROKAH CAKRAWALA</v>
          </cell>
          <cell r="S11">
            <v>0</v>
          </cell>
          <cell r="T11">
            <v>0</v>
          </cell>
          <cell r="U11" t="str">
            <v>Hongkong, RRT</v>
          </cell>
          <cell r="W11">
            <v>1</v>
          </cell>
          <cell r="X11">
            <v>0</v>
          </cell>
          <cell r="Y11">
            <v>0</v>
          </cell>
          <cell r="AF11" t="str">
            <v>Simpang Empat</v>
          </cell>
        </row>
        <row r="12">
          <cell r="F12" t="str">
            <v>Tanaman Pangan, Perkebunan, dan Peternakan</v>
          </cell>
          <cell r="H12" t="str">
            <v>JAYA MANDIRI SUKSES</v>
          </cell>
          <cell r="S12">
            <v>0</v>
          </cell>
          <cell r="T12">
            <v>3580448791</v>
          </cell>
          <cell r="U12" t="str">
            <v>Singapura</v>
          </cell>
          <cell r="W12">
            <v>1</v>
          </cell>
          <cell r="X12">
            <v>3</v>
          </cell>
          <cell r="Y12">
            <v>0</v>
          </cell>
        </row>
        <row r="13">
          <cell r="F13" t="str">
            <v>Hotel dan Restoran</v>
          </cell>
          <cell r="H13" t="str">
            <v>CAHAYA ANUGRAH SARANA CATERING</v>
          </cell>
          <cell r="S13">
            <v>0</v>
          </cell>
          <cell r="T13">
            <v>0</v>
          </cell>
          <cell r="U13" t="str">
            <v>Singapura</v>
          </cell>
          <cell r="W13">
            <v>1</v>
          </cell>
          <cell r="X13">
            <v>0</v>
          </cell>
          <cell r="Y13">
            <v>0</v>
          </cell>
          <cell r="AF13" t="str">
            <v>Angsana</v>
          </cell>
        </row>
        <row r="14">
          <cell r="F14" t="str">
            <v>Hotel dan Restoran</v>
          </cell>
          <cell r="H14" t="str">
            <v>CAHAYA ANUGRAH SARANA CATERING</v>
          </cell>
          <cell r="S14">
            <v>0</v>
          </cell>
          <cell r="T14">
            <v>0</v>
          </cell>
          <cell r="U14" t="str">
            <v>Singapura</v>
          </cell>
          <cell r="W14">
            <v>1</v>
          </cell>
          <cell r="X14">
            <v>0</v>
          </cell>
          <cell r="Y14">
            <v>0</v>
          </cell>
          <cell r="AF14" t="str">
            <v>Angsana</v>
          </cell>
        </row>
        <row r="15">
          <cell r="F15" t="str">
            <v>Pertambangan</v>
          </cell>
          <cell r="H15" t="str">
            <v>MITRA SETIA TANAH BUMBU</v>
          </cell>
          <cell r="S15">
            <v>0</v>
          </cell>
          <cell r="T15">
            <v>0</v>
          </cell>
          <cell r="U15" t="str">
            <v>Singapura</v>
          </cell>
          <cell r="W15">
            <v>1</v>
          </cell>
          <cell r="X15">
            <v>0</v>
          </cell>
          <cell r="Y15">
            <v>0</v>
          </cell>
          <cell r="AF15" t="str">
            <v>Teluk Kepayang</v>
          </cell>
        </row>
        <row r="16">
          <cell r="F16" t="str">
            <v>Perdagangan dan Reparasi</v>
          </cell>
          <cell r="H16" t="str">
            <v>VKS DRILLTEK INDO</v>
          </cell>
          <cell r="S16">
            <v>0</v>
          </cell>
          <cell r="T16">
            <v>0</v>
          </cell>
          <cell r="U16" t="str">
            <v>India</v>
          </cell>
          <cell r="W16">
            <v>1</v>
          </cell>
          <cell r="X16">
            <v>0</v>
          </cell>
          <cell r="Y16">
            <v>0</v>
          </cell>
          <cell r="AF16" t="str">
            <v>Satui</v>
          </cell>
        </row>
        <row r="17">
          <cell r="F17" t="str">
            <v>Industri Logam Dasar, Barang Logam, Bukan Mesin dan Peralatannya</v>
          </cell>
          <cell r="H17" t="str">
            <v>ANUGERAH BAROKAH CAKRAWALA</v>
          </cell>
          <cell r="S17">
            <v>0</v>
          </cell>
          <cell r="T17">
            <v>0</v>
          </cell>
          <cell r="U17" t="str">
            <v>Hongkong, RRT</v>
          </cell>
          <cell r="W17">
            <v>1</v>
          </cell>
          <cell r="X17">
            <v>0</v>
          </cell>
          <cell r="Y17">
            <v>0</v>
          </cell>
          <cell r="AF17" t="str">
            <v>Simpang Empat</v>
          </cell>
        </row>
        <row r="18">
          <cell r="F18" t="str">
            <v>Industri Logam Dasar, Barang Logam, Bukan Mesin dan Peralatannya</v>
          </cell>
          <cell r="H18" t="str">
            <v>ANUGERAH BAROKAH CAKRAWALA</v>
          </cell>
          <cell r="S18">
            <v>0</v>
          </cell>
          <cell r="T18">
            <v>0</v>
          </cell>
          <cell r="U18" t="str">
            <v>Hongkong, RRT</v>
          </cell>
          <cell r="W18">
            <v>1</v>
          </cell>
          <cell r="X18">
            <v>0</v>
          </cell>
          <cell r="Y18">
            <v>0</v>
          </cell>
          <cell r="AF18" t="str">
            <v>Simpang Empat</v>
          </cell>
        </row>
        <row r="19">
          <cell r="F19" t="str">
            <v>Pertambangan</v>
          </cell>
          <cell r="H19" t="str">
            <v>TRANSCOAL MINERGY</v>
          </cell>
          <cell r="S19">
            <v>0</v>
          </cell>
          <cell r="T19">
            <v>2</v>
          </cell>
          <cell r="U19" t="str">
            <v>Singapura</v>
          </cell>
          <cell r="W19">
            <v>1</v>
          </cell>
          <cell r="X19">
            <v>0</v>
          </cell>
          <cell r="Y19">
            <v>0</v>
          </cell>
          <cell r="AF19" t="str">
            <v>Mantewe</v>
          </cell>
        </row>
        <row r="20">
          <cell r="F20" t="str">
            <v>Pertambangan</v>
          </cell>
          <cell r="H20" t="str">
            <v>TRANSCOAL MINERGY</v>
          </cell>
          <cell r="S20">
            <v>0</v>
          </cell>
          <cell r="T20">
            <v>2</v>
          </cell>
          <cell r="U20" t="str">
            <v>Singapura</v>
          </cell>
          <cell r="W20">
            <v>1</v>
          </cell>
          <cell r="X20">
            <v>0</v>
          </cell>
          <cell r="Y20">
            <v>0</v>
          </cell>
          <cell r="AF20" t="str">
            <v>Mantewe</v>
          </cell>
        </row>
        <row r="21">
          <cell r="F21" t="str">
            <v>Pertambangan</v>
          </cell>
          <cell r="H21" t="str">
            <v>TOUDANO MANDIRI ABADI</v>
          </cell>
          <cell r="S21">
            <v>0</v>
          </cell>
          <cell r="T21">
            <v>10453184044</v>
          </cell>
          <cell r="U21" t="str">
            <v>Singapura</v>
          </cell>
          <cell r="W21">
            <v>1</v>
          </cell>
          <cell r="X21">
            <v>0</v>
          </cell>
          <cell r="Y21">
            <v>0</v>
          </cell>
          <cell r="AF21" t="str">
            <v>Batu Licin</v>
          </cell>
        </row>
        <row r="22">
          <cell r="S22">
            <v>1653622393959</v>
          </cell>
          <cell r="T22">
            <v>3760990190955</v>
          </cell>
        </row>
      </sheetData>
      <sheetData sheetId="1">
        <row r="1">
          <cell r="AF1" t="str">
            <v>Kecamatan</v>
          </cell>
        </row>
        <row r="2">
          <cell r="F2" t="str">
            <v>Pertambangan</v>
          </cell>
          <cell r="H2" t="str">
            <v>ANGSANA JAYA ENERGI</v>
          </cell>
          <cell r="T2">
            <v>298800000</v>
          </cell>
          <cell r="W2">
            <v>1</v>
          </cell>
          <cell r="X2">
            <v>0</v>
          </cell>
          <cell r="Y2">
            <v>0</v>
          </cell>
          <cell r="AF2" t="str">
            <v>Angsana</v>
          </cell>
        </row>
        <row r="3">
          <cell r="F3" t="str">
            <v>Pertambangan</v>
          </cell>
          <cell r="H3" t="str">
            <v>ANZAWARA SATRIA</v>
          </cell>
          <cell r="T3">
            <v>8813098507</v>
          </cell>
          <cell r="W3">
            <v>1</v>
          </cell>
          <cell r="X3">
            <v>0</v>
          </cell>
          <cell r="Y3">
            <v>0</v>
          </cell>
          <cell r="AF3" t="str">
            <v>Angsana</v>
          </cell>
        </row>
        <row r="4">
          <cell r="F4" t="str">
            <v>Perdagangan dan Reparasi</v>
          </cell>
          <cell r="H4" t="str">
            <v>BARA ASIA COALTRADE</v>
          </cell>
          <cell r="T4">
            <v>0</v>
          </cell>
          <cell r="W4">
            <v>1</v>
          </cell>
          <cell r="X4">
            <v>0</v>
          </cell>
          <cell r="Y4">
            <v>0</v>
          </cell>
          <cell r="AF4" t="str">
            <v>Angsana</v>
          </cell>
        </row>
        <row r="5">
          <cell r="F5" t="str">
            <v>Transportasi, Gudang dan Telekomunikasi</v>
          </cell>
          <cell r="H5" t="str">
            <v>BINA INDO RAYA</v>
          </cell>
          <cell r="T5">
            <v>91399507077</v>
          </cell>
          <cell r="W5">
            <v>1</v>
          </cell>
          <cell r="X5">
            <v>0</v>
          </cell>
          <cell r="Y5">
            <v>0</v>
          </cell>
          <cell r="AF5" t="str">
            <v>Angsana</v>
          </cell>
        </row>
        <row r="6">
          <cell r="F6" t="str">
            <v>Transportasi, Gudang dan Telekomunikasi</v>
          </cell>
          <cell r="H6" t="str">
            <v>BINA INTI PERSADA</v>
          </cell>
          <cell r="T6">
            <v>15959794416</v>
          </cell>
          <cell r="W6">
            <v>1</v>
          </cell>
          <cell r="X6">
            <v>0</v>
          </cell>
          <cell r="Y6">
            <v>0</v>
          </cell>
          <cell r="AF6" t="str">
            <v>Angsana</v>
          </cell>
        </row>
        <row r="7">
          <cell r="F7" t="str">
            <v>Listrik, Gas dan Air</v>
          </cell>
          <cell r="H7" t="str">
            <v>BINA INTI PERSADA</v>
          </cell>
          <cell r="T7">
            <v>0</v>
          </cell>
          <cell r="W7">
            <v>1</v>
          </cell>
          <cell r="X7">
            <v>0</v>
          </cell>
          <cell r="Y7">
            <v>0</v>
          </cell>
          <cell r="AF7" t="str">
            <v>Angsana</v>
          </cell>
        </row>
        <row r="8">
          <cell r="F8" t="str">
            <v>Transportasi, Gudang dan Telekomunikasi</v>
          </cell>
          <cell r="H8" t="str">
            <v>BINA INTI PERSADA</v>
          </cell>
          <cell r="T8">
            <v>0</v>
          </cell>
          <cell r="W8">
            <v>1</v>
          </cell>
          <cell r="X8">
            <v>0</v>
          </cell>
          <cell r="Y8">
            <v>0</v>
          </cell>
          <cell r="AF8" t="str">
            <v>Angsana</v>
          </cell>
        </row>
        <row r="9">
          <cell r="F9" t="str">
            <v>Listrik, Gas dan Air</v>
          </cell>
          <cell r="H9" t="str">
            <v>BINA INTI PERSADA</v>
          </cell>
          <cell r="T9">
            <v>0</v>
          </cell>
          <cell r="W9">
            <v>1</v>
          </cell>
          <cell r="X9">
            <v>0</v>
          </cell>
          <cell r="Y9">
            <v>0</v>
          </cell>
          <cell r="AF9" t="str">
            <v>Angsana</v>
          </cell>
        </row>
        <row r="10">
          <cell r="F10" t="str">
            <v>Listrik, Gas dan Air</v>
          </cell>
          <cell r="H10" t="str">
            <v>BINA INTI PERSADA</v>
          </cell>
          <cell r="T10">
            <v>8427000</v>
          </cell>
          <cell r="W10">
            <v>1</v>
          </cell>
          <cell r="X10">
            <v>0</v>
          </cell>
          <cell r="Y10">
            <v>0</v>
          </cell>
          <cell r="AF10" t="str">
            <v>Angsana</v>
          </cell>
        </row>
        <row r="11">
          <cell r="F11" t="str">
            <v>Jasa Lainnya</v>
          </cell>
          <cell r="H11" t="str">
            <v>BINA INTI PERSADA</v>
          </cell>
          <cell r="T11">
            <v>0</v>
          </cell>
          <cell r="W11">
            <v>1</v>
          </cell>
          <cell r="X11">
            <v>0</v>
          </cell>
          <cell r="Y11">
            <v>0</v>
          </cell>
          <cell r="AF11" t="str">
            <v>Angsana</v>
          </cell>
        </row>
        <row r="12">
          <cell r="F12" t="str">
            <v>Transportasi, Gudang dan Telekomunikasi</v>
          </cell>
          <cell r="H12" t="str">
            <v>BINA INTI PERSADA</v>
          </cell>
          <cell r="T12">
            <v>0</v>
          </cell>
          <cell r="W12">
            <v>1</v>
          </cell>
          <cell r="X12">
            <v>0</v>
          </cell>
          <cell r="Y12">
            <v>0</v>
          </cell>
          <cell r="AF12" t="str">
            <v>Angsana</v>
          </cell>
        </row>
        <row r="13">
          <cell r="F13" t="str">
            <v>Perdagangan dan Reparasi</v>
          </cell>
          <cell r="H13" t="str">
            <v>BINA INTI PERSADA</v>
          </cell>
          <cell r="T13">
            <v>0</v>
          </cell>
          <cell r="W13">
            <v>1</v>
          </cell>
          <cell r="X13">
            <v>0</v>
          </cell>
          <cell r="Y13">
            <v>0</v>
          </cell>
          <cell r="AF13" t="str">
            <v>Angsana</v>
          </cell>
        </row>
        <row r="14">
          <cell r="F14" t="str">
            <v>Transportasi, Gudang dan Telekomunikasi</v>
          </cell>
          <cell r="H14" t="str">
            <v>BINA KARYA PUTRA BATULICIN</v>
          </cell>
          <cell r="T14">
            <v>7917062009</v>
          </cell>
          <cell r="W14">
            <v>1</v>
          </cell>
          <cell r="X14">
            <v>0</v>
          </cell>
          <cell r="Y14">
            <v>0</v>
          </cell>
          <cell r="AF14" t="str">
            <v>Angsana</v>
          </cell>
        </row>
        <row r="15">
          <cell r="F15" t="str">
            <v>Pertambangan</v>
          </cell>
          <cell r="H15" t="str">
            <v>BORNEO INDOBARA</v>
          </cell>
          <cell r="T15">
            <v>641640467848</v>
          </cell>
          <cell r="W15">
            <v>1</v>
          </cell>
          <cell r="X15">
            <v>4</v>
          </cell>
          <cell r="Y15">
            <v>0</v>
          </cell>
          <cell r="AF15" t="str">
            <v>Angsana</v>
          </cell>
        </row>
        <row r="16">
          <cell r="F16" t="str">
            <v>Pertambangan</v>
          </cell>
          <cell r="H16" t="str">
            <v>BORNEO INDOBARA</v>
          </cell>
          <cell r="T16">
            <v>0</v>
          </cell>
          <cell r="W16">
            <v>1</v>
          </cell>
          <cell r="X16">
            <v>0</v>
          </cell>
          <cell r="Y16">
            <v>0</v>
          </cell>
          <cell r="AF16" t="str">
            <v>Angsana</v>
          </cell>
        </row>
        <row r="17">
          <cell r="F17" t="str">
            <v>Pertambangan</v>
          </cell>
          <cell r="H17" t="str">
            <v>BORNEO INDOBARA</v>
          </cell>
          <cell r="T17">
            <v>0</v>
          </cell>
          <cell r="W17">
            <v>1</v>
          </cell>
          <cell r="X17">
            <v>0</v>
          </cell>
          <cell r="Y17">
            <v>0</v>
          </cell>
          <cell r="AF17" t="str">
            <v>Angsana</v>
          </cell>
        </row>
        <row r="18">
          <cell r="F18" t="str">
            <v>Pertambangan</v>
          </cell>
          <cell r="H18" t="str">
            <v>BORNEO INDOBARA</v>
          </cell>
          <cell r="T18">
            <v>0</v>
          </cell>
          <cell r="W18">
            <v>1</v>
          </cell>
          <cell r="X18">
            <v>0</v>
          </cell>
          <cell r="Y18">
            <v>0</v>
          </cell>
          <cell r="AF18" t="str">
            <v>Angsana</v>
          </cell>
        </row>
        <row r="19">
          <cell r="F19" t="str">
            <v>Pertambangan</v>
          </cell>
          <cell r="H19" t="str">
            <v>BORNEO INDOBARA</v>
          </cell>
          <cell r="T19">
            <v>0</v>
          </cell>
          <cell r="W19">
            <v>1</v>
          </cell>
          <cell r="X19">
            <v>0</v>
          </cell>
          <cell r="Y19">
            <v>0</v>
          </cell>
          <cell r="AF19" t="str">
            <v>Angsana</v>
          </cell>
        </row>
        <row r="20">
          <cell r="F20" t="str">
            <v>Pertambangan</v>
          </cell>
          <cell r="H20" t="str">
            <v>BORNEO INDOBARA</v>
          </cell>
          <cell r="T20">
            <v>0</v>
          </cell>
          <cell r="W20">
            <v>1</v>
          </cell>
          <cell r="X20">
            <v>0</v>
          </cell>
          <cell r="Y20">
            <v>0</v>
          </cell>
          <cell r="AF20" t="str">
            <v>Angsana</v>
          </cell>
        </row>
        <row r="21">
          <cell r="F21" t="str">
            <v>Pertambangan</v>
          </cell>
          <cell r="H21" t="str">
            <v>BORNEO INDOBARA</v>
          </cell>
          <cell r="T21">
            <v>0</v>
          </cell>
          <cell r="W21">
            <v>1</v>
          </cell>
          <cell r="X21">
            <v>0</v>
          </cell>
          <cell r="Y21">
            <v>0</v>
          </cell>
          <cell r="AF21" t="str">
            <v>Angsana</v>
          </cell>
        </row>
        <row r="22">
          <cell r="F22" t="str">
            <v>Pertambangan</v>
          </cell>
          <cell r="H22" t="str">
            <v>BORNEO INDOBARA</v>
          </cell>
          <cell r="T22">
            <v>0</v>
          </cell>
          <cell r="W22">
            <v>1</v>
          </cell>
          <cell r="X22">
            <v>0</v>
          </cell>
          <cell r="Y22">
            <v>0</v>
          </cell>
          <cell r="AF22" t="str">
            <v>Angsana</v>
          </cell>
        </row>
        <row r="23">
          <cell r="F23" t="str">
            <v>Pertambangan</v>
          </cell>
          <cell r="H23" t="str">
            <v>BORNEO INDOBARA</v>
          </cell>
          <cell r="T23">
            <v>0</v>
          </cell>
          <cell r="W23">
            <v>1</v>
          </cell>
          <cell r="X23">
            <v>0</v>
          </cell>
          <cell r="Y23">
            <v>0</v>
          </cell>
          <cell r="AF23" t="str">
            <v>Angsana</v>
          </cell>
        </row>
        <row r="24">
          <cell r="F24" t="str">
            <v>Pertambangan</v>
          </cell>
          <cell r="H24" t="str">
            <v>BORNEO INDOBARA</v>
          </cell>
          <cell r="T24">
            <v>0</v>
          </cell>
          <cell r="W24">
            <v>1</v>
          </cell>
          <cell r="X24">
            <v>0</v>
          </cell>
          <cell r="Y24">
            <v>0</v>
          </cell>
          <cell r="AF24" t="str">
            <v>Angsana</v>
          </cell>
        </row>
        <row r="25">
          <cell r="F25" t="str">
            <v>Pertambangan</v>
          </cell>
          <cell r="H25" t="str">
            <v>BORNEO INDOBARA</v>
          </cell>
          <cell r="T25">
            <v>0</v>
          </cell>
          <cell r="W25">
            <v>1</v>
          </cell>
          <cell r="X25">
            <v>0</v>
          </cell>
          <cell r="Y25">
            <v>0</v>
          </cell>
          <cell r="AF25" t="str">
            <v>Angsana</v>
          </cell>
        </row>
        <row r="26">
          <cell r="F26" t="str">
            <v>Pertambangan</v>
          </cell>
          <cell r="H26" t="str">
            <v>BORNEO INDOBARA</v>
          </cell>
          <cell r="T26">
            <v>0</v>
          </cell>
          <cell r="W26">
            <v>1</v>
          </cell>
          <cell r="X26">
            <v>0</v>
          </cell>
          <cell r="Y26">
            <v>0</v>
          </cell>
          <cell r="AF26" t="str">
            <v>Angsana</v>
          </cell>
        </row>
        <row r="27">
          <cell r="F27" t="str">
            <v>Pertambangan</v>
          </cell>
          <cell r="H27" t="str">
            <v>BORNEO INDOBARA</v>
          </cell>
          <cell r="T27">
            <v>0</v>
          </cell>
          <cell r="W27">
            <v>1</v>
          </cell>
          <cell r="X27">
            <v>0</v>
          </cell>
          <cell r="Y27">
            <v>0</v>
          </cell>
          <cell r="AF27" t="str">
            <v>Angsana</v>
          </cell>
        </row>
        <row r="28">
          <cell r="F28" t="str">
            <v>Pertambangan</v>
          </cell>
          <cell r="H28" t="str">
            <v>BORNEO INDOBARA</v>
          </cell>
          <cell r="T28">
            <v>0</v>
          </cell>
          <cell r="W28">
            <v>1</v>
          </cell>
          <cell r="X28">
            <v>0</v>
          </cell>
          <cell r="Y28">
            <v>0</v>
          </cell>
          <cell r="AF28" t="str">
            <v>Angsana</v>
          </cell>
        </row>
        <row r="29">
          <cell r="F29" t="str">
            <v>Pertambangan</v>
          </cell>
          <cell r="H29" t="str">
            <v>BORNEO INDOBARA</v>
          </cell>
          <cell r="T29">
            <v>0</v>
          </cell>
          <cell r="W29">
            <v>1</v>
          </cell>
          <cell r="X29">
            <v>0</v>
          </cell>
          <cell r="Y29">
            <v>0</v>
          </cell>
          <cell r="AF29" t="str">
            <v>Angsana</v>
          </cell>
        </row>
        <row r="30">
          <cell r="F30" t="str">
            <v>Pertambangan</v>
          </cell>
          <cell r="H30" t="str">
            <v>BORNEO INDOBARA</v>
          </cell>
          <cell r="T30">
            <v>0</v>
          </cell>
          <cell r="W30">
            <v>1</v>
          </cell>
          <cell r="X30">
            <v>0</v>
          </cell>
          <cell r="Y30">
            <v>0</v>
          </cell>
          <cell r="AF30" t="str">
            <v>Angsana</v>
          </cell>
        </row>
        <row r="31">
          <cell r="F31" t="str">
            <v>Pertambangan</v>
          </cell>
          <cell r="H31" t="str">
            <v>BORNEO INDOBARA</v>
          </cell>
          <cell r="T31">
            <v>0</v>
          </cell>
          <cell r="W31">
            <v>1</v>
          </cell>
          <cell r="X31">
            <v>0</v>
          </cell>
          <cell r="Y31">
            <v>0</v>
          </cell>
          <cell r="AF31" t="str">
            <v>Angsana</v>
          </cell>
        </row>
        <row r="32">
          <cell r="F32" t="str">
            <v>Transportasi, Gudang dan Telekomunikasi</v>
          </cell>
          <cell r="H32" t="str">
            <v>BORNEO INDOBARA</v>
          </cell>
          <cell r="T32">
            <v>0</v>
          </cell>
          <cell r="W32">
            <v>1</v>
          </cell>
          <cell r="X32">
            <v>0</v>
          </cell>
          <cell r="Y32">
            <v>0</v>
          </cell>
          <cell r="AF32" t="str">
            <v>Angsana</v>
          </cell>
        </row>
        <row r="33">
          <cell r="F33" t="str">
            <v>Pertambangan</v>
          </cell>
          <cell r="H33" t="str">
            <v>BORNEO INDOBARA</v>
          </cell>
          <cell r="T33">
            <v>0</v>
          </cell>
          <cell r="W33">
            <v>1</v>
          </cell>
          <cell r="X33">
            <v>0</v>
          </cell>
          <cell r="Y33">
            <v>0</v>
          </cell>
          <cell r="AF33" t="str">
            <v>Angsana</v>
          </cell>
        </row>
        <row r="34">
          <cell r="F34" t="str">
            <v>Pertambangan</v>
          </cell>
          <cell r="H34" t="str">
            <v>BORNEO INDOBARA</v>
          </cell>
          <cell r="T34">
            <v>0</v>
          </cell>
          <cell r="W34">
            <v>1</v>
          </cell>
          <cell r="X34">
            <v>0</v>
          </cell>
          <cell r="Y34">
            <v>0</v>
          </cell>
          <cell r="AF34" t="str">
            <v>Angsana</v>
          </cell>
        </row>
        <row r="35">
          <cell r="F35" t="str">
            <v>Pertambangan</v>
          </cell>
          <cell r="H35" t="str">
            <v>BORNEO INDOBARA</v>
          </cell>
          <cell r="T35">
            <v>0</v>
          </cell>
          <cell r="W35">
            <v>1</v>
          </cell>
          <cell r="X35">
            <v>0</v>
          </cell>
          <cell r="Y35">
            <v>0</v>
          </cell>
          <cell r="AF35" t="str">
            <v>Angsana</v>
          </cell>
        </row>
        <row r="36">
          <cell r="F36" t="str">
            <v>Pertambangan</v>
          </cell>
          <cell r="H36" t="str">
            <v>BORNEO INDOBARA</v>
          </cell>
          <cell r="T36">
            <v>0</v>
          </cell>
          <cell r="W36">
            <v>1</v>
          </cell>
          <cell r="X36">
            <v>0</v>
          </cell>
          <cell r="Y36">
            <v>0</v>
          </cell>
          <cell r="AF36" t="str">
            <v>Angsana</v>
          </cell>
        </row>
        <row r="37">
          <cell r="F37" t="str">
            <v>Pertambangan</v>
          </cell>
          <cell r="H37" t="str">
            <v>BORNEO INDOBARA</v>
          </cell>
          <cell r="T37">
            <v>0</v>
          </cell>
          <cell r="W37">
            <v>1</v>
          </cell>
          <cell r="X37">
            <v>0</v>
          </cell>
          <cell r="Y37">
            <v>0</v>
          </cell>
          <cell r="AF37" t="str">
            <v>Angsana</v>
          </cell>
        </row>
        <row r="38">
          <cell r="F38" t="str">
            <v>Pertambangan</v>
          </cell>
          <cell r="H38" t="str">
            <v>BORNEO INDOBARA</v>
          </cell>
          <cell r="T38">
            <v>0</v>
          </cell>
          <cell r="W38">
            <v>1</v>
          </cell>
          <cell r="X38">
            <v>0</v>
          </cell>
          <cell r="Y38">
            <v>0</v>
          </cell>
          <cell r="AF38" t="str">
            <v>Angsana</v>
          </cell>
        </row>
        <row r="39">
          <cell r="F39" t="str">
            <v>Pertambangan</v>
          </cell>
          <cell r="H39" t="str">
            <v>BORNEO INDOBARA</v>
          </cell>
          <cell r="T39">
            <v>0</v>
          </cell>
          <cell r="W39">
            <v>1</v>
          </cell>
          <cell r="X39">
            <v>0</v>
          </cell>
          <cell r="Y39">
            <v>0</v>
          </cell>
          <cell r="AF39" t="str">
            <v>Angsana</v>
          </cell>
        </row>
        <row r="40">
          <cell r="F40" t="str">
            <v>Transportasi, Gudang dan Telekomunikasi</v>
          </cell>
          <cell r="H40" t="str">
            <v>BORNEO INDOBARA</v>
          </cell>
          <cell r="T40">
            <v>0</v>
          </cell>
          <cell r="W40">
            <v>1</v>
          </cell>
          <cell r="X40">
            <v>0</v>
          </cell>
          <cell r="Y40">
            <v>0</v>
          </cell>
          <cell r="AF40" t="str">
            <v>Angsana</v>
          </cell>
        </row>
        <row r="41">
          <cell r="F41" t="str">
            <v>Pertambangan</v>
          </cell>
          <cell r="H41" t="str">
            <v>BORNEO INDOBARA</v>
          </cell>
          <cell r="T41">
            <v>0</v>
          </cell>
          <cell r="W41">
            <v>1</v>
          </cell>
          <cell r="X41">
            <v>0</v>
          </cell>
          <cell r="Y41">
            <v>0</v>
          </cell>
          <cell r="AF41" t="str">
            <v>Angsana</v>
          </cell>
        </row>
        <row r="42">
          <cell r="F42" t="str">
            <v>Pertambangan</v>
          </cell>
          <cell r="H42" t="str">
            <v>BORNEO INDOBARA</v>
          </cell>
          <cell r="T42">
            <v>58586649402</v>
          </cell>
          <cell r="W42">
            <v>1</v>
          </cell>
          <cell r="X42">
            <v>0</v>
          </cell>
          <cell r="Y42">
            <v>0</v>
          </cell>
          <cell r="AF42" t="str">
            <v>Angsana</v>
          </cell>
        </row>
        <row r="43">
          <cell r="F43" t="str">
            <v>Pertambangan</v>
          </cell>
          <cell r="H43" t="str">
            <v>BORNEO INDOBARA</v>
          </cell>
          <cell r="T43">
            <v>0</v>
          </cell>
          <cell r="W43">
            <v>1</v>
          </cell>
          <cell r="X43">
            <v>0</v>
          </cell>
          <cell r="Y43">
            <v>0</v>
          </cell>
          <cell r="AF43" t="str">
            <v>Angsana</v>
          </cell>
        </row>
        <row r="44">
          <cell r="F44" t="str">
            <v>Pertambangan</v>
          </cell>
          <cell r="H44" t="str">
            <v>BORNEO INDOBARA</v>
          </cell>
          <cell r="T44">
            <v>0</v>
          </cell>
          <cell r="W44">
            <v>1</v>
          </cell>
          <cell r="X44">
            <v>0</v>
          </cell>
          <cell r="Y44">
            <v>0</v>
          </cell>
          <cell r="AF44" t="str">
            <v>Angsana</v>
          </cell>
        </row>
        <row r="45">
          <cell r="F45" t="str">
            <v>Pertambangan</v>
          </cell>
          <cell r="H45" t="str">
            <v>BORNEO INDOBARA</v>
          </cell>
          <cell r="T45">
            <v>0</v>
          </cell>
          <cell r="W45">
            <v>1</v>
          </cell>
          <cell r="X45">
            <v>0</v>
          </cell>
          <cell r="Y45">
            <v>0</v>
          </cell>
          <cell r="AF45" t="str">
            <v>Angsana</v>
          </cell>
        </row>
        <row r="46">
          <cell r="F46" t="str">
            <v>Pertambangan</v>
          </cell>
          <cell r="H46" t="str">
            <v>BORNEO INDOBARA</v>
          </cell>
          <cell r="T46">
            <v>0</v>
          </cell>
          <cell r="W46">
            <v>1</v>
          </cell>
          <cell r="X46">
            <v>0</v>
          </cell>
          <cell r="Y46">
            <v>0</v>
          </cell>
          <cell r="AF46" t="str">
            <v>Angsana</v>
          </cell>
        </row>
        <row r="47">
          <cell r="F47" t="str">
            <v>Pertambangan</v>
          </cell>
          <cell r="H47" t="str">
            <v>BORNEO INDOBARA</v>
          </cell>
          <cell r="T47">
            <v>0</v>
          </cell>
          <cell r="W47">
            <v>1</v>
          </cell>
          <cell r="X47">
            <v>0</v>
          </cell>
          <cell r="Y47">
            <v>0</v>
          </cell>
          <cell r="AF47" t="str">
            <v>Angsana</v>
          </cell>
        </row>
        <row r="48">
          <cell r="F48" t="str">
            <v>Pertambangan</v>
          </cell>
          <cell r="H48" t="str">
            <v>BUKIT MAKMUR MANDIRI UTAMA</v>
          </cell>
          <cell r="T48">
            <v>64811632055</v>
          </cell>
          <cell r="W48">
            <v>1</v>
          </cell>
          <cell r="X48">
            <v>0</v>
          </cell>
          <cell r="Y48">
            <v>0</v>
          </cell>
          <cell r="AF48" t="str">
            <v>Angsana</v>
          </cell>
        </row>
        <row r="49">
          <cell r="F49" t="str">
            <v>Transportasi, Gudang dan Telekomunikasi</v>
          </cell>
          <cell r="H49" t="str">
            <v>BUKIT MAKMUR MANDIRI UTAMA</v>
          </cell>
          <cell r="T49">
            <v>0</v>
          </cell>
          <cell r="W49">
            <v>1</v>
          </cell>
          <cell r="X49">
            <v>0</v>
          </cell>
          <cell r="Y49">
            <v>0</v>
          </cell>
          <cell r="AF49" t="str">
            <v>Angsana</v>
          </cell>
        </row>
        <row r="50">
          <cell r="F50" t="str">
            <v>Transportasi, Gudang dan Telekomunikasi</v>
          </cell>
          <cell r="H50" t="str">
            <v>CIPTA KRIDA BAHARI</v>
          </cell>
          <cell r="T50">
            <v>0</v>
          </cell>
          <cell r="W50">
            <v>1</v>
          </cell>
          <cell r="X50">
            <v>0</v>
          </cell>
          <cell r="Y50">
            <v>0</v>
          </cell>
          <cell r="AF50" t="str">
            <v>Angsana</v>
          </cell>
        </row>
        <row r="51">
          <cell r="F51" t="str">
            <v>Jasa Lainnya</v>
          </cell>
          <cell r="H51" t="str">
            <v>DAYA ENERGI TEKNIK</v>
          </cell>
          <cell r="T51">
            <v>0</v>
          </cell>
          <cell r="W51">
            <v>1</v>
          </cell>
          <cell r="X51">
            <v>0</v>
          </cell>
          <cell r="Y51">
            <v>0</v>
          </cell>
          <cell r="AF51" t="str">
            <v>Angsana</v>
          </cell>
        </row>
        <row r="52">
          <cell r="F52" t="str">
            <v>Pertambangan</v>
          </cell>
          <cell r="H52" t="str">
            <v>DAYA ENERGI TEKNIK</v>
          </cell>
          <cell r="T52">
            <v>3400000000</v>
          </cell>
          <cell r="W52">
            <v>1</v>
          </cell>
          <cell r="X52">
            <v>0</v>
          </cell>
          <cell r="Y52">
            <v>0</v>
          </cell>
          <cell r="AF52" t="str">
            <v>Angsana</v>
          </cell>
        </row>
        <row r="53">
          <cell r="F53" t="str">
            <v>Jasa Lainnya</v>
          </cell>
          <cell r="H53" t="str">
            <v>DAYA ENERGI TEKNIK</v>
          </cell>
          <cell r="T53">
            <v>1398500000</v>
          </cell>
          <cell r="W53">
            <v>1</v>
          </cell>
          <cell r="X53">
            <v>0</v>
          </cell>
          <cell r="Y53">
            <v>0</v>
          </cell>
          <cell r="AF53" t="str">
            <v>Angsana</v>
          </cell>
        </row>
        <row r="54">
          <cell r="F54" t="str">
            <v>Perdagangan dan Reparasi</v>
          </cell>
          <cell r="H54" t="str">
            <v>DAYA INDAH ANDALAN</v>
          </cell>
          <cell r="T54">
            <v>1925006368</v>
          </cell>
          <cell r="W54">
            <v>1</v>
          </cell>
          <cell r="X54">
            <v>0</v>
          </cell>
          <cell r="Y54">
            <v>0</v>
          </cell>
          <cell r="AF54" t="str">
            <v>Angsana</v>
          </cell>
        </row>
        <row r="55">
          <cell r="F55" t="str">
            <v>Transportasi, Gudang dan Telekomunikasi</v>
          </cell>
          <cell r="H55" t="str">
            <v>MITRA JASA SEBAMBAN UTAMA</v>
          </cell>
          <cell r="T55">
            <v>0</v>
          </cell>
          <cell r="W55">
            <v>1</v>
          </cell>
          <cell r="X55">
            <v>0</v>
          </cell>
          <cell r="Y55">
            <v>0</v>
          </cell>
          <cell r="AF55" t="str">
            <v>Angsana</v>
          </cell>
        </row>
        <row r="56">
          <cell r="F56" t="str">
            <v>Konstruksi</v>
          </cell>
          <cell r="H56" t="str">
            <v>MITRA JASA SEBAMBAN UTAMA</v>
          </cell>
          <cell r="T56">
            <v>0</v>
          </cell>
          <cell r="W56">
            <v>1</v>
          </cell>
          <cell r="X56">
            <v>0</v>
          </cell>
          <cell r="Y56">
            <v>0</v>
          </cell>
          <cell r="AF56" t="str">
            <v>Angsana</v>
          </cell>
        </row>
        <row r="57">
          <cell r="F57" t="str">
            <v>Transportasi, Gudang dan Telekomunikasi</v>
          </cell>
          <cell r="H57" t="str">
            <v>MITRA JASA SEBAMBAN UTAMA</v>
          </cell>
          <cell r="T57">
            <v>0</v>
          </cell>
          <cell r="W57">
            <v>1</v>
          </cell>
          <cell r="X57">
            <v>0</v>
          </cell>
          <cell r="Y57">
            <v>0</v>
          </cell>
          <cell r="AF57" t="str">
            <v>Angsana</v>
          </cell>
        </row>
        <row r="58">
          <cell r="F58" t="str">
            <v>Konstruksi</v>
          </cell>
          <cell r="H58" t="str">
            <v>PROFESIONAL TELEKOMUNIKASI INDONESIA</v>
          </cell>
          <cell r="T58">
            <v>0</v>
          </cell>
          <cell r="W58">
            <v>1</v>
          </cell>
          <cell r="X58">
            <v>0</v>
          </cell>
          <cell r="Y58">
            <v>0</v>
          </cell>
          <cell r="AF58" t="str">
            <v>Angsana</v>
          </cell>
        </row>
        <row r="59">
          <cell r="F59" t="str">
            <v>Perumahan, Kawasan Industri dan Perkantoran</v>
          </cell>
          <cell r="H59" t="str">
            <v>SAPTAINDRA SEJATI</v>
          </cell>
          <cell r="T59">
            <v>0</v>
          </cell>
          <cell r="W59">
            <v>1</v>
          </cell>
          <cell r="X59">
            <v>0</v>
          </cell>
          <cell r="Y59">
            <v>0</v>
          </cell>
          <cell r="AF59" t="str">
            <v>Angsana</v>
          </cell>
        </row>
        <row r="60">
          <cell r="F60" t="str">
            <v>Transportasi, Gudang dan Telekomunikasi</v>
          </cell>
          <cell r="H60" t="str">
            <v>SARANA INDO PERDANA</v>
          </cell>
          <cell r="T60">
            <v>6820196874</v>
          </cell>
          <cell r="W60">
            <v>1</v>
          </cell>
          <cell r="X60">
            <v>5</v>
          </cell>
          <cell r="Y60">
            <v>0</v>
          </cell>
          <cell r="AF60" t="str">
            <v>Angsana</v>
          </cell>
        </row>
        <row r="61">
          <cell r="F61" t="str">
            <v>Listrik, Gas dan Air</v>
          </cell>
          <cell r="H61" t="str">
            <v>SARANA INDO PERDANA</v>
          </cell>
          <cell r="T61">
            <v>0</v>
          </cell>
          <cell r="W61">
            <v>1</v>
          </cell>
          <cell r="X61">
            <v>0</v>
          </cell>
          <cell r="Y61">
            <v>0</v>
          </cell>
          <cell r="AF61" t="str">
            <v>Angsana</v>
          </cell>
        </row>
        <row r="62">
          <cell r="F62" t="str">
            <v>Hotel dan Restoran</v>
          </cell>
          <cell r="H62" t="str">
            <v>SARANA INDO PERDANA</v>
          </cell>
          <cell r="T62">
            <v>0</v>
          </cell>
          <cell r="W62">
            <v>1</v>
          </cell>
          <cell r="X62">
            <v>0</v>
          </cell>
          <cell r="Y62">
            <v>0</v>
          </cell>
          <cell r="AF62" t="str">
            <v>Angsana</v>
          </cell>
        </row>
        <row r="63">
          <cell r="F63" t="str">
            <v>Transportasi, Gudang dan Telekomunikasi</v>
          </cell>
          <cell r="H63" t="str">
            <v>SARANA INDO PERDANA</v>
          </cell>
          <cell r="T63">
            <v>0</v>
          </cell>
          <cell r="W63">
            <v>1</v>
          </cell>
          <cell r="X63">
            <v>0</v>
          </cell>
          <cell r="Y63">
            <v>0</v>
          </cell>
          <cell r="AF63" t="str">
            <v>Angsana</v>
          </cell>
        </row>
        <row r="64">
          <cell r="F64" t="str">
            <v>Jasa Lainnya</v>
          </cell>
          <cell r="H64" t="str">
            <v>SARANA INDO PERDANA</v>
          </cell>
          <cell r="T64">
            <v>0</v>
          </cell>
          <cell r="W64">
            <v>1</v>
          </cell>
          <cell r="X64">
            <v>0</v>
          </cell>
          <cell r="Y64">
            <v>0</v>
          </cell>
          <cell r="AF64" t="str">
            <v>Angsana</v>
          </cell>
        </row>
        <row r="65">
          <cell r="F65" t="str">
            <v>Jasa Lainnya</v>
          </cell>
          <cell r="H65" t="str">
            <v>SARANA INDO PERDANA</v>
          </cell>
          <cell r="T65">
            <v>0</v>
          </cell>
          <cell r="W65">
            <v>1</v>
          </cell>
          <cell r="X65">
            <v>0</v>
          </cell>
          <cell r="Y65">
            <v>0</v>
          </cell>
          <cell r="AF65" t="str">
            <v>Angsana</v>
          </cell>
        </row>
        <row r="66">
          <cell r="F66" t="str">
            <v>Listrik, Gas dan Air</v>
          </cell>
          <cell r="H66" t="str">
            <v>SARANA INDO PERDANA</v>
          </cell>
          <cell r="T66">
            <v>0</v>
          </cell>
          <cell r="W66">
            <v>1</v>
          </cell>
          <cell r="X66">
            <v>0</v>
          </cell>
          <cell r="Y66">
            <v>0</v>
          </cell>
          <cell r="AF66" t="str">
            <v>Angsana</v>
          </cell>
        </row>
        <row r="67">
          <cell r="F67" t="str">
            <v>Industri Makanan</v>
          </cell>
          <cell r="H67" t="str">
            <v>SARANA INDO PERDANA</v>
          </cell>
          <cell r="T67">
            <v>0</v>
          </cell>
          <cell r="W67">
            <v>1</v>
          </cell>
          <cell r="X67">
            <v>0</v>
          </cell>
          <cell r="Y67">
            <v>0</v>
          </cell>
          <cell r="AF67" t="str">
            <v>Angsana</v>
          </cell>
        </row>
        <row r="68">
          <cell r="F68" t="str">
            <v>Pertambangan</v>
          </cell>
          <cell r="H68" t="str">
            <v>SUNGAI DANAU JAYA</v>
          </cell>
          <cell r="T68">
            <v>44651085113</v>
          </cell>
          <cell r="W68">
            <v>1</v>
          </cell>
          <cell r="X68">
            <v>38</v>
          </cell>
          <cell r="Y68">
            <v>0</v>
          </cell>
          <cell r="AF68" t="str">
            <v>Angsana</v>
          </cell>
        </row>
        <row r="69">
          <cell r="F69" t="str">
            <v>Pertambangan</v>
          </cell>
          <cell r="H69" t="str">
            <v>SUNGAI DANAU JAYA</v>
          </cell>
          <cell r="T69">
            <v>0</v>
          </cell>
          <cell r="W69">
            <v>1</v>
          </cell>
          <cell r="X69">
            <v>0</v>
          </cell>
          <cell r="Y69">
            <v>0</v>
          </cell>
          <cell r="AF69" t="str">
            <v>Angsana</v>
          </cell>
        </row>
        <row r="70">
          <cell r="F70" t="str">
            <v>Jasa Lainnya</v>
          </cell>
          <cell r="H70" t="str">
            <v>SUPRIMA MITRA ADIHUSADA</v>
          </cell>
          <cell r="T70">
            <v>984157003</v>
          </cell>
          <cell r="W70">
            <v>1</v>
          </cell>
          <cell r="X70">
            <v>0</v>
          </cell>
          <cell r="Y70">
            <v>0</v>
          </cell>
          <cell r="AF70" t="str">
            <v>Angsana</v>
          </cell>
        </row>
        <row r="71">
          <cell r="F71" t="str">
            <v>Jasa Lainnya</v>
          </cell>
          <cell r="H71" t="str">
            <v>SUPRIMA MITRA ADIHUSADA</v>
          </cell>
          <cell r="T71">
            <v>75000000</v>
          </cell>
          <cell r="W71">
            <v>1</v>
          </cell>
          <cell r="X71">
            <v>0</v>
          </cell>
          <cell r="Y71">
            <v>0</v>
          </cell>
          <cell r="AF71" t="str">
            <v>Angsana</v>
          </cell>
        </row>
        <row r="72">
          <cell r="F72" t="str">
            <v>Jasa Lainnya</v>
          </cell>
          <cell r="H72" t="str">
            <v>SUPRIMA MITRA ADIHUSADA</v>
          </cell>
          <cell r="T72">
            <v>0</v>
          </cell>
          <cell r="W72">
            <v>1</v>
          </cell>
          <cell r="X72">
            <v>0</v>
          </cell>
          <cell r="Y72">
            <v>0</v>
          </cell>
          <cell r="AF72" t="str">
            <v>Angsana</v>
          </cell>
        </row>
        <row r="73">
          <cell r="F73" t="str">
            <v>Pertambangan</v>
          </cell>
          <cell r="H73" t="str">
            <v>TIMUR SATRIA PERKASA</v>
          </cell>
          <cell r="T73">
            <v>0</v>
          </cell>
          <cell r="W73">
            <v>1</v>
          </cell>
          <cell r="X73">
            <v>0</v>
          </cell>
          <cell r="Y73">
            <v>0</v>
          </cell>
          <cell r="AF73" t="str">
            <v>Angsana</v>
          </cell>
        </row>
        <row r="74">
          <cell r="F74" t="str">
            <v>Transportasi, Gudang dan Telekomunikasi</v>
          </cell>
          <cell r="H74" t="str">
            <v>WARGI SANTOSA</v>
          </cell>
          <cell r="T74">
            <v>477178180</v>
          </cell>
          <cell r="W74">
            <v>1</v>
          </cell>
          <cell r="X74">
            <v>0</v>
          </cell>
          <cell r="Y74">
            <v>0</v>
          </cell>
          <cell r="AF74" t="str">
            <v>Angsana</v>
          </cell>
        </row>
        <row r="75">
          <cell r="F75" t="str">
            <v>Jasa Lainnya</v>
          </cell>
          <cell r="H75" t="str">
            <v>WARGI SANTOSA</v>
          </cell>
          <cell r="T75">
            <v>448072374</v>
          </cell>
          <cell r="W75">
            <v>1</v>
          </cell>
          <cell r="X75">
            <v>0</v>
          </cell>
          <cell r="Y75">
            <v>0</v>
          </cell>
          <cell r="AF75" t="str">
            <v>Angsana</v>
          </cell>
        </row>
        <row r="76">
          <cell r="F76" t="str">
            <v>Perdagangan dan Reparasi</v>
          </cell>
          <cell r="H76" t="str">
            <v>WARGI SANTOSA</v>
          </cell>
          <cell r="T76">
            <v>305898900</v>
          </cell>
          <cell r="W76">
            <v>1</v>
          </cell>
          <cell r="X76">
            <v>0</v>
          </cell>
          <cell r="Y76">
            <v>0</v>
          </cell>
          <cell r="AF76" t="str">
            <v>Angsana</v>
          </cell>
        </row>
        <row r="77">
          <cell r="F77" t="str">
            <v>Jasa Lainnya</v>
          </cell>
          <cell r="H77" t="str">
            <v>WARGI SANTOSA</v>
          </cell>
          <cell r="T77">
            <v>198758430</v>
          </cell>
          <cell r="W77">
            <v>1</v>
          </cell>
          <cell r="X77">
            <v>0</v>
          </cell>
          <cell r="Y77">
            <v>0</v>
          </cell>
          <cell r="AF77" t="str">
            <v>Angsana</v>
          </cell>
        </row>
        <row r="78">
          <cell r="F78" t="str">
            <v>Perdagangan dan Reparasi</v>
          </cell>
          <cell r="H78" t="str">
            <v>WARGI SANTOSA</v>
          </cell>
          <cell r="T78">
            <v>355605170</v>
          </cell>
          <cell r="W78">
            <v>1</v>
          </cell>
          <cell r="X78">
            <v>0</v>
          </cell>
          <cell r="Y78">
            <v>0</v>
          </cell>
          <cell r="AF78" t="str">
            <v>Angsana</v>
          </cell>
        </row>
        <row r="79">
          <cell r="F79" t="str">
            <v>Jasa Lainnya</v>
          </cell>
          <cell r="H79" t="str">
            <v>WARGI SANTOSA</v>
          </cell>
          <cell r="T79">
            <v>243532520</v>
          </cell>
          <cell r="W79">
            <v>1</v>
          </cell>
          <cell r="X79">
            <v>0</v>
          </cell>
          <cell r="Y79">
            <v>0</v>
          </cell>
          <cell r="AF79" t="str">
            <v>Angsana</v>
          </cell>
        </row>
        <row r="80">
          <cell r="F80" t="str">
            <v>Transportasi, Gudang dan Telekomunikasi</v>
          </cell>
          <cell r="H80" t="str">
            <v>WORLD TERMINALINDO</v>
          </cell>
          <cell r="T80">
            <v>0</v>
          </cell>
          <cell r="W80">
            <v>1</v>
          </cell>
          <cell r="X80">
            <v>0</v>
          </cell>
          <cell r="Y80">
            <v>0</v>
          </cell>
          <cell r="AF80" t="str">
            <v>Angsana</v>
          </cell>
        </row>
        <row r="81">
          <cell r="F81" t="str">
            <v>Pertambangan</v>
          </cell>
          <cell r="H81" t="str">
            <v>AMANAH PUTRA BORNEO</v>
          </cell>
          <cell r="T81">
            <v>98900338355</v>
          </cell>
          <cell r="W81">
            <v>1</v>
          </cell>
          <cell r="X81">
            <v>0</v>
          </cell>
          <cell r="Y81">
            <v>0</v>
          </cell>
          <cell r="AF81" t="str">
            <v>Batu Licin</v>
          </cell>
        </row>
        <row r="82">
          <cell r="F82" t="str">
            <v>Perdagangan dan Reparasi</v>
          </cell>
          <cell r="H82" t="str">
            <v>AMANAH PUTRA BORNEO</v>
          </cell>
          <cell r="T82">
            <v>97085487846</v>
          </cell>
          <cell r="W82">
            <v>1</v>
          </cell>
          <cell r="X82">
            <v>0</v>
          </cell>
          <cell r="Y82">
            <v>0</v>
          </cell>
          <cell r="AF82" t="str">
            <v>Batu Licin</v>
          </cell>
        </row>
        <row r="83">
          <cell r="F83" t="str">
            <v>Hotel dan Restoran</v>
          </cell>
          <cell r="H83" t="str">
            <v>ARYATAMA BANUA BIRU</v>
          </cell>
          <cell r="T83">
            <v>5083845155</v>
          </cell>
          <cell r="W83">
            <v>1</v>
          </cell>
          <cell r="X83">
            <v>0</v>
          </cell>
          <cell r="Y83">
            <v>0</v>
          </cell>
          <cell r="AF83" t="str">
            <v>Batu Licin</v>
          </cell>
        </row>
        <row r="84">
          <cell r="F84" t="str">
            <v>Hotel dan Restoran</v>
          </cell>
          <cell r="H84" t="str">
            <v>ARYATAMA BANUA BIRU</v>
          </cell>
          <cell r="T84">
            <v>1630638867</v>
          </cell>
          <cell r="W84">
            <v>1</v>
          </cell>
          <cell r="X84">
            <v>0</v>
          </cell>
          <cell r="Y84">
            <v>0</v>
          </cell>
          <cell r="AF84" t="str">
            <v>Batu Licin</v>
          </cell>
        </row>
        <row r="85">
          <cell r="F85" t="str">
            <v>Hotel dan Restoran</v>
          </cell>
          <cell r="H85" t="str">
            <v>ARYATAMA BANUA BIRU</v>
          </cell>
          <cell r="T85">
            <v>0</v>
          </cell>
          <cell r="W85">
            <v>1</v>
          </cell>
          <cell r="X85">
            <v>0</v>
          </cell>
          <cell r="Y85">
            <v>0</v>
          </cell>
          <cell r="AF85" t="str">
            <v>Batu Licin</v>
          </cell>
        </row>
        <row r="86">
          <cell r="F86" t="str">
            <v>Transportasi, Gudang dan Telekomunikasi</v>
          </cell>
          <cell r="H86" t="str">
            <v>ASDP INDONESIA FERRY</v>
          </cell>
          <cell r="T86">
            <v>10251765478</v>
          </cell>
          <cell r="W86">
            <v>1</v>
          </cell>
          <cell r="X86">
            <v>0</v>
          </cell>
          <cell r="Y86">
            <v>0</v>
          </cell>
          <cell r="AF86" t="str">
            <v>Batu Licin</v>
          </cell>
        </row>
        <row r="87">
          <cell r="F87" t="str">
            <v>Transportasi, Gudang dan Telekomunikasi</v>
          </cell>
          <cell r="H87" t="str">
            <v>ASDP INDONESIA FERRY</v>
          </cell>
          <cell r="T87">
            <v>1143002802</v>
          </cell>
          <cell r="W87">
            <v>1</v>
          </cell>
          <cell r="X87">
            <v>1</v>
          </cell>
          <cell r="Y87">
            <v>0</v>
          </cell>
          <cell r="AF87" t="str">
            <v>Batu Licin</v>
          </cell>
        </row>
        <row r="88">
          <cell r="F88" t="str">
            <v>Transportasi, Gudang dan Telekomunikasi</v>
          </cell>
          <cell r="H88" t="str">
            <v>BANDAR INDO RAYA</v>
          </cell>
          <cell r="T88">
            <v>110898622709</v>
          </cell>
          <cell r="W88">
            <v>1</v>
          </cell>
          <cell r="X88">
            <v>0</v>
          </cell>
          <cell r="Y88">
            <v>0</v>
          </cell>
          <cell r="AF88" t="str">
            <v>Batu Licin</v>
          </cell>
        </row>
        <row r="89">
          <cell r="F89" t="str">
            <v>Transportasi, Gudang dan Telekomunikasi</v>
          </cell>
          <cell r="H89" t="str">
            <v>BAROKAH DEPUTRA NUSANTARA</v>
          </cell>
          <cell r="T89">
            <v>0</v>
          </cell>
          <cell r="W89">
            <v>1</v>
          </cell>
          <cell r="X89">
            <v>0</v>
          </cell>
          <cell r="Y89">
            <v>0</v>
          </cell>
          <cell r="AF89" t="str">
            <v>Batu Licin</v>
          </cell>
        </row>
        <row r="90">
          <cell r="F90" t="str">
            <v>Konstruksi</v>
          </cell>
          <cell r="H90" t="str">
            <v>BATULICIN BORNEO MARITIM</v>
          </cell>
          <cell r="T90">
            <v>1250000</v>
          </cell>
          <cell r="W90">
            <v>1</v>
          </cell>
          <cell r="X90">
            <v>0</v>
          </cell>
          <cell r="Y90">
            <v>0</v>
          </cell>
          <cell r="AF90" t="str">
            <v>Batu Licin</v>
          </cell>
        </row>
        <row r="91">
          <cell r="F91" t="str">
            <v>Pertambangan</v>
          </cell>
          <cell r="H91" t="str">
            <v>BATULICIN BORNEO MARITIM</v>
          </cell>
          <cell r="T91">
            <v>366766582</v>
          </cell>
          <cell r="W91">
            <v>1</v>
          </cell>
          <cell r="X91">
            <v>0</v>
          </cell>
          <cell r="Y91">
            <v>0</v>
          </cell>
          <cell r="AF91" t="str">
            <v>Batu Licin</v>
          </cell>
        </row>
        <row r="92">
          <cell r="F92" t="str">
            <v>Pertambangan</v>
          </cell>
          <cell r="H92" t="str">
            <v>BATULICIN BORNEO MARITIM</v>
          </cell>
          <cell r="T92">
            <v>366766582</v>
          </cell>
          <cell r="W92">
            <v>1</v>
          </cell>
          <cell r="X92">
            <v>0</v>
          </cell>
          <cell r="Y92">
            <v>0</v>
          </cell>
          <cell r="AF92" t="str">
            <v>Batu Licin</v>
          </cell>
        </row>
        <row r="93">
          <cell r="F93" t="str">
            <v>Konstruksi</v>
          </cell>
          <cell r="H93" t="str">
            <v>BATULICIN BORNEO MARITIM</v>
          </cell>
          <cell r="T93">
            <v>13447078262</v>
          </cell>
          <cell r="W93">
            <v>1</v>
          </cell>
          <cell r="X93">
            <v>0</v>
          </cell>
          <cell r="Y93">
            <v>0</v>
          </cell>
          <cell r="AF93" t="str">
            <v>Batu Licin</v>
          </cell>
        </row>
        <row r="94">
          <cell r="F94" t="str">
            <v>Jasa Lainnya</v>
          </cell>
          <cell r="H94" t="str">
            <v>BATULICIN ENAM SEMBILAN</v>
          </cell>
          <cell r="T94">
            <v>33850347602</v>
          </cell>
          <cell r="W94">
            <v>1</v>
          </cell>
          <cell r="X94">
            <v>0</v>
          </cell>
          <cell r="Y94">
            <v>0</v>
          </cell>
          <cell r="AF94" t="str">
            <v>Batu Licin</v>
          </cell>
        </row>
        <row r="95">
          <cell r="F95" t="str">
            <v>Perdagangan dan Reparasi</v>
          </cell>
          <cell r="H95" t="str">
            <v>BATULICIN ENAM SEMBILAN PELABUHAN</v>
          </cell>
          <cell r="T95">
            <v>0</v>
          </cell>
          <cell r="W95">
            <v>1</v>
          </cell>
          <cell r="X95">
            <v>0</v>
          </cell>
          <cell r="Y95">
            <v>0</v>
          </cell>
          <cell r="AF95" t="str">
            <v>Batu Licin</v>
          </cell>
        </row>
        <row r="96">
          <cell r="F96" t="str">
            <v>Jasa Lainnya</v>
          </cell>
          <cell r="H96" t="str">
            <v>BATULICIN ENAM SEMBILAN PERTAMBANGAN</v>
          </cell>
          <cell r="T96">
            <v>13629502058</v>
          </cell>
          <cell r="W96">
            <v>1</v>
          </cell>
          <cell r="X96">
            <v>0</v>
          </cell>
          <cell r="Y96">
            <v>0</v>
          </cell>
          <cell r="AF96" t="str">
            <v>Batu Licin</v>
          </cell>
        </row>
        <row r="97">
          <cell r="F97" t="str">
            <v>Pertambangan</v>
          </cell>
          <cell r="H97" t="str">
            <v>BATULICIN ENAM SEMBILAN PERTAMBANGAN</v>
          </cell>
          <cell r="T97">
            <v>34656648266</v>
          </cell>
          <cell r="W97">
            <v>1</v>
          </cell>
          <cell r="X97">
            <v>0</v>
          </cell>
          <cell r="Y97">
            <v>0</v>
          </cell>
          <cell r="AF97" t="str">
            <v>Batu Licin</v>
          </cell>
        </row>
        <row r="98">
          <cell r="F98" t="str">
            <v>Perdagangan dan Reparasi</v>
          </cell>
          <cell r="H98" t="str">
            <v>BATULICIN ENAM SEMBILAN TRANSPORTASI</v>
          </cell>
          <cell r="T98">
            <v>0</v>
          </cell>
          <cell r="W98">
            <v>1</v>
          </cell>
          <cell r="X98">
            <v>0</v>
          </cell>
          <cell r="Y98">
            <v>0</v>
          </cell>
          <cell r="AF98" t="str">
            <v>Batu Licin</v>
          </cell>
        </row>
        <row r="99">
          <cell r="F99" t="str">
            <v>Transportasi, Gudang dan Telekomunikasi</v>
          </cell>
          <cell r="H99" t="str">
            <v>BATULICIN NUSANTARA MARITIM</v>
          </cell>
          <cell r="T99">
            <v>545903768178</v>
          </cell>
          <cell r="W99">
            <v>1</v>
          </cell>
          <cell r="X99">
            <v>0</v>
          </cell>
          <cell r="Y99">
            <v>0</v>
          </cell>
          <cell r="AF99" t="str">
            <v>Batu Licin</v>
          </cell>
        </row>
        <row r="100">
          <cell r="F100" t="str">
            <v>Pertambangan</v>
          </cell>
          <cell r="H100" t="str">
            <v>BINA BATULICIN USAHA</v>
          </cell>
          <cell r="T100">
            <v>0</v>
          </cell>
          <cell r="W100">
            <v>1</v>
          </cell>
          <cell r="X100">
            <v>0</v>
          </cell>
          <cell r="Y100">
            <v>0</v>
          </cell>
          <cell r="AF100" t="str">
            <v>Batu Licin</v>
          </cell>
        </row>
        <row r="101">
          <cell r="F101" t="str">
            <v>Perdagangan dan Reparasi</v>
          </cell>
          <cell r="H101" t="str">
            <v>BINA USAHA BATULICIN</v>
          </cell>
          <cell r="T101">
            <v>66119002982</v>
          </cell>
          <cell r="W101">
            <v>1</v>
          </cell>
          <cell r="X101">
            <v>0</v>
          </cell>
          <cell r="Y101">
            <v>0</v>
          </cell>
          <cell r="AF101" t="str">
            <v>Batu Licin</v>
          </cell>
        </row>
        <row r="102">
          <cell r="F102" t="str">
            <v>Transportasi, Gudang dan Telekomunikasi</v>
          </cell>
          <cell r="H102" t="str">
            <v>BINA USAHA BATULICIN</v>
          </cell>
          <cell r="T102">
            <v>8564550571</v>
          </cell>
          <cell r="W102">
            <v>1</v>
          </cell>
          <cell r="X102">
            <v>0</v>
          </cell>
          <cell r="Y102">
            <v>0</v>
          </cell>
          <cell r="AF102" t="str">
            <v>Batu Licin</v>
          </cell>
        </row>
        <row r="103">
          <cell r="F103" t="str">
            <v>Transportasi, Gudang dan Telekomunikasi</v>
          </cell>
          <cell r="H103" t="str">
            <v>BINA USAHA BATULICIN</v>
          </cell>
          <cell r="T103">
            <v>28500774154</v>
          </cell>
          <cell r="W103">
            <v>1</v>
          </cell>
          <cell r="X103">
            <v>0</v>
          </cell>
          <cell r="Y103">
            <v>0</v>
          </cell>
          <cell r="AF103" t="str">
            <v>Batu Licin</v>
          </cell>
        </row>
        <row r="104">
          <cell r="F104" t="str">
            <v>Transportasi, Gudang dan Telekomunikasi</v>
          </cell>
          <cell r="H104" t="str">
            <v>BINA USAHA BATULICIN</v>
          </cell>
          <cell r="T104">
            <v>8564550571</v>
          </cell>
          <cell r="W104">
            <v>1</v>
          </cell>
          <cell r="X104">
            <v>0</v>
          </cell>
          <cell r="Y104">
            <v>0</v>
          </cell>
          <cell r="AF104" t="str">
            <v>Batu Licin</v>
          </cell>
        </row>
        <row r="105">
          <cell r="F105" t="str">
            <v>Listrik, Gas dan Air</v>
          </cell>
          <cell r="H105" t="str">
            <v>BUMI NUSA PALAPA</v>
          </cell>
          <cell r="T105">
            <v>72502427</v>
          </cell>
          <cell r="W105">
            <v>1</v>
          </cell>
          <cell r="X105">
            <v>0</v>
          </cell>
          <cell r="Y105">
            <v>0</v>
          </cell>
          <cell r="AF105" t="str">
            <v>Batu Licin</v>
          </cell>
        </row>
        <row r="106">
          <cell r="F106" t="str">
            <v>Perdagangan dan Reparasi</v>
          </cell>
          <cell r="H106" t="str">
            <v>DUA KOTA LAUT</v>
          </cell>
          <cell r="T106">
            <v>10564212292</v>
          </cell>
          <cell r="W106">
            <v>1</v>
          </cell>
          <cell r="X106">
            <v>0</v>
          </cell>
          <cell r="Y106">
            <v>0</v>
          </cell>
          <cell r="AF106" t="str">
            <v>Batu Licin</v>
          </cell>
        </row>
        <row r="107">
          <cell r="F107" t="str">
            <v>Perdagangan dan Reparasi</v>
          </cell>
          <cell r="H107" t="str">
            <v>ENAM SEMBILAN NIAGA NIKEL</v>
          </cell>
          <cell r="T107">
            <v>195043259482</v>
          </cell>
          <cell r="W107">
            <v>1</v>
          </cell>
          <cell r="X107">
            <v>0</v>
          </cell>
          <cell r="Y107">
            <v>0</v>
          </cell>
          <cell r="AF107" t="str">
            <v>Batu Licin</v>
          </cell>
        </row>
        <row r="108">
          <cell r="F108" t="str">
            <v>Perdagangan dan Reparasi</v>
          </cell>
          <cell r="H108" t="str">
            <v>ENAM SEMBILAN TRADING BATUBARA</v>
          </cell>
          <cell r="T108">
            <v>50810541</v>
          </cell>
          <cell r="W108">
            <v>1</v>
          </cell>
          <cell r="X108">
            <v>0</v>
          </cell>
          <cell r="Y108">
            <v>0</v>
          </cell>
          <cell r="AF108" t="str">
            <v>Batu Licin</v>
          </cell>
        </row>
        <row r="109">
          <cell r="F109" t="str">
            <v>Pertambangan</v>
          </cell>
          <cell r="H109" t="str">
            <v>GEMA TAMBANG NUSANTARA</v>
          </cell>
          <cell r="T109">
            <v>44825787</v>
          </cell>
          <cell r="W109">
            <v>1</v>
          </cell>
          <cell r="X109">
            <v>0</v>
          </cell>
          <cell r="Y109">
            <v>0</v>
          </cell>
          <cell r="AF109" t="str">
            <v>Batu Licin</v>
          </cell>
        </row>
        <row r="110">
          <cell r="F110" t="str">
            <v>Industri Kimia Dan Farmasi</v>
          </cell>
          <cell r="H110" t="str">
            <v>HAJI MAMING PELABUHAN</v>
          </cell>
          <cell r="T110">
            <v>123883354550</v>
          </cell>
          <cell r="W110">
            <v>1</v>
          </cell>
          <cell r="X110">
            <v>0</v>
          </cell>
          <cell r="Y110">
            <v>0</v>
          </cell>
          <cell r="AF110" t="str">
            <v>Batu Licin</v>
          </cell>
        </row>
        <row r="111">
          <cell r="F111" t="str">
            <v>Transportasi, Gudang dan Telekomunikasi</v>
          </cell>
          <cell r="H111" t="str">
            <v>JEMBATAN NUSANTARA</v>
          </cell>
          <cell r="T111">
            <v>1160320000</v>
          </cell>
          <cell r="W111">
            <v>1</v>
          </cell>
          <cell r="X111">
            <v>0</v>
          </cell>
          <cell r="Y111">
            <v>0</v>
          </cell>
          <cell r="AF111" t="str">
            <v>Batu Licin</v>
          </cell>
        </row>
        <row r="112">
          <cell r="F112" t="str">
            <v>Perdagangan dan Reparasi</v>
          </cell>
          <cell r="H112" t="str">
            <v>KALIMAS KHARISMA</v>
          </cell>
          <cell r="T112">
            <v>0</v>
          </cell>
          <cell r="W112">
            <v>1</v>
          </cell>
          <cell r="X112">
            <v>0</v>
          </cell>
          <cell r="Y112">
            <v>0</v>
          </cell>
          <cell r="AF112" t="str">
            <v>Batu Licin</v>
          </cell>
        </row>
        <row r="113">
          <cell r="F113" t="str">
            <v>Perdagangan dan Reparasi</v>
          </cell>
          <cell r="H113" t="str">
            <v>KALIMAS KHARISMA</v>
          </cell>
          <cell r="T113">
            <v>0</v>
          </cell>
          <cell r="W113">
            <v>1</v>
          </cell>
          <cell r="X113">
            <v>0</v>
          </cell>
          <cell r="Y113">
            <v>0</v>
          </cell>
          <cell r="AF113" t="str">
            <v>Batu Licin</v>
          </cell>
        </row>
        <row r="114">
          <cell r="F114" t="str">
            <v>Perdagangan dan Reparasi</v>
          </cell>
          <cell r="H114" t="str">
            <v>KALIMAS KHARISMA</v>
          </cell>
          <cell r="T114">
            <v>0</v>
          </cell>
          <cell r="W114">
            <v>1</v>
          </cell>
          <cell r="X114">
            <v>0</v>
          </cell>
          <cell r="Y114">
            <v>0</v>
          </cell>
          <cell r="AF114" t="str">
            <v>Batu Licin</v>
          </cell>
        </row>
        <row r="115">
          <cell r="F115" t="str">
            <v>Perdagangan dan Reparasi</v>
          </cell>
          <cell r="H115" t="str">
            <v>KALIMAS KHARISMA</v>
          </cell>
          <cell r="T115">
            <v>0</v>
          </cell>
          <cell r="W115">
            <v>1</v>
          </cell>
          <cell r="X115">
            <v>0</v>
          </cell>
          <cell r="Y115">
            <v>0</v>
          </cell>
          <cell r="AF115" t="str">
            <v>Batu Licin</v>
          </cell>
        </row>
        <row r="116">
          <cell r="F116" t="str">
            <v>Konstruksi</v>
          </cell>
          <cell r="H116" t="str">
            <v>KARYA TANTRA MEGA</v>
          </cell>
          <cell r="T116">
            <v>4850950626</v>
          </cell>
          <cell r="W116">
            <v>1</v>
          </cell>
          <cell r="X116">
            <v>0</v>
          </cell>
          <cell r="Y116">
            <v>0</v>
          </cell>
          <cell r="AF116" t="str">
            <v>Batu Licin</v>
          </cell>
        </row>
        <row r="117">
          <cell r="F117" t="str">
            <v>Konstruksi</v>
          </cell>
          <cell r="H117" t="str">
            <v>KARYA TANTRA MEGA</v>
          </cell>
          <cell r="T117">
            <v>15724681750</v>
          </cell>
          <cell r="W117">
            <v>1</v>
          </cell>
          <cell r="X117">
            <v>0</v>
          </cell>
          <cell r="Y117">
            <v>0</v>
          </cell>
          <cell r="AF117" t="str">
            <v>Batu Licin</v>
          </cell>
        </row>
        <row r="118">
          <cell r="F118" t="str">
            <v>Transportasi, Gudang dan Telekomunikasi</v>
          </cell>
          <cell r="H118" t="str">
            <v>KHARISMA KAISAR BATULICIN</v>
          </cell>
          <cell r="T118">
            <v>2100000000</v>
          </cell>
          <cell r="W118">
            <v>1</v>
          </cell>
          <cell r="X118">
            <v>3</v>
          </cell>
          <cell r="Y118">
            <v>0</v>
          </cell>
          <cell r="AF118" t="str">
            <v>Batu Licin</v>
          </cell>
        </row>
        <row r="119">
          <cell r="F119" t="str">
            <v>Transportasi, Gudang dan Telekomunikasi</v>
          </cell>
          <cell r="H119" t="str">
            <v>KHARISMA KAISAR BATULICIN</v>
          </cell>
          <cell r="T119">
            <v>1000000000</v>
          </cell>
          <cell r="W119">
            <v>1</v>
          </cell>
          <cell r="X119">
            <v>3</v>
          </cell>
          <cell r="Y119">
            <v>0</v>
          </cell>
          <cell r="AF119" t="str">
            <v>Batu Licin</v>
          </cell>
        </row>
        <row r="120">
          <cell r="F120" t="str">
            <v>Perdagangan dan Reparasi</v>
          </cell>
          <cell r="H120" t="str">
            <v>KHARISMA KAISAR BATULICIN</v>
          </cell>
          <cell r="T120">
            <v>675000000</v>
          </cell>
          <cell r="W120">
            <v>1</v>
          </cell>
          <cell r="X120">
            <v>3</v>
          </cell>
          <cell r="Y120">
            <v>0</v>
          </cell>
          <cell r="AF120" t="str">
            <v>Batu Licin</v>
          </cell>
        </row>
        <row r="121">
          <cell r="F121" t="str">
            <v>Perdagangan dan Reparasi</v>
          </cell>
          <cell r="H121" t="str">
            <v>KHARISMA KAISAR BATULICIN</v>
          </cell>
          <cell r="T121">
            <v>287500000</v>
          </cell>
          <cell r="W121">
            <v>1</v>
          </cell>
          <cell r="X121">
            <v>3</v>
          </cell>
          <cell r="Y121">
            <v>0</v>
          </cell>
          <cell r="AF121" t="str">
            <v>Batu Licin</v>
          </cell>
        </row>
        <row r="122">
          <cell r="F122" t="str">
            <v>Transportasi, Gudang dan Telekomunikasi</v>
          </cell>
          <cell r="H122" t="str">
            <v>KHARISMA KAISAR BATULICIN</v>
          </cell>
          <cell r="T122">
            <v>401200000</v>
          </cell>
          <cell r="W122">
            <v>1</v>
          </cell>
          <cell r="X122">
            <v>3</v>
          </cell>
          <cell r="Y122">
            <v>0</v>
          </cell>
          <cell r="AF122" t="str">
            <v>Batu Licin</v>
          </cell>
        </row>
        <row r="123">
          <cell r="F123" t="str">
            <v>Tanaman Pangan, Perkebunan, dan Peternakan</v>
          </cell>
          <cell r="H123" t="str">
            <v>KODECO AGROJAYA MANDIRI</v>
          </cell>
          <cell r="T123">
            <v>337869880109</v>
          </cell>
          <cell r="W123">
            <v>1</v>
          </cell>
          <cell r="X123">
            <v>115</v>
          </cell>
          <cell r="Y123">
            <v>0</v>
          </cell>
          <cell r="AF123" t="str">
            <v>Batu Licin</v>
          </cell>
        </row>
        <row r="124">
          <cell r="F124" t="str">
            <v>Industri Makanan</v>
          </cell>
          <cell r="H124" t="str">
            <v>KODECO AGROJAYA MANDIRI</v>
          </cell>
          <cell r="T124">
            <v>112571500741</v>
          </cell>
          <cell r="W124">
            <v>1</v>
          </cell>
          <cell r="X124">
            <v>10</v>
          </cell>
          <cell r="Y124">
            <v>0</v>
          </cell>
          <cell r="AF124" t="str">
            <v>Batu Licin</v>
          </cell>
        </row>
        <row r="125">
          <cell r="F125" t="str">
            <v>Perdagangan dan Reparasi</v>
          </cell>
          <cell r="H125" t="str">
            <v>KODECO AGROJAYA MANDIRI</v>
          </cell>
          <cell r="T125">
            <v>0</v>
          </cell>
          <cell r="W125">
            <v>1</v>
          </cell>
          <cell r="X125">
            <v>0</v>
          </cell>
          <cell r="Y125">
            <v>0</v>
          </cell>
          <cell r="AF125" t="str">
            <v>Batu Licin</v>
          </cell>
        </row>
        <row r="126">
          <cell r="F126" t="str">
            <v>Industri Makanan</v>
          </cell>
          <cell r="H126" t="str">
            <v>KODECO AGROJAYA MANDIRI</v>
          </cell>
          <cell r="T126">
            <v>0</v>
          </cell>
          <cell r="W126">
            <v>1</v>
          </cell>
          <cell r="X126">
            <v>0</v>
          </cell>
          <cell r="Y126">
            <v>0</v>
          </cell>
          <cell r="AF126" t="str">
            <v>Batu Licin</v>
          </cell>
        </row>
        <row r="127">
          <cell r="F127" t="str">
            <v>Konstruksi</v>
          </cell>
          <cell r="H127" t="str">
            <v>KRIDA CIPTA SATYA</v>
          </cell>
          <cell r="T127">
            <v>25663041783</v>
          </cell>
          <cell r="W127">
            <v>1</v>
          </cell>
          <cell r="X127">
            <v>0</v>
          </cell>
          <cell r="Y127">
            <v>0</v>
          </cell>
          <cell r="AF127" t="str">
            <v>Batu Licin</v>
          </cell>
        </row>
        <row r="128">
          <cell r="F128" t="str">
            <v>Konstruksi</v>
          </cell>
          <cell r="H128" t="str">
            <v>KRIDA CIPTA SATYA</v>
          </cell>
          <cell r="T128">
            <v>4431474115</v>
          </cell>
          <cell r="W128">
            <v>1</v>
          </cell>
          <cell r="X128">
            <v>0</v>
          </cell>
          <cell r="Y128">
            <v>0</v>
          </cell>
          <cell r="AF128" t="str">
            <v>Batu Licin</v>
          </cell>
        </row>
        <row r="129">
          <cell r="F129" t="str">
            <v>Konstruksi</v>
          </cell>
          <cell r="H129" t="str">
            <v>KRIDA CIPTA SATYA</v>
          </cell>
          <cell r="T129">
            <v>4431474115</v>
          </cell>
          <cell r="W129">
            <v>1</v>
          </cell>
          <cell r="X129">
            <v>0</v>
          </cell>
          <cell r="Y129">
            <v>0</v>
          </cell>
          <cell r="AF129" t="str">
            <v>Batu Licin</v>
          </cell>
        </row>
        <row r="130">
          <cell r="F130" t="str">
            <v>Pertambangan</v>
          </cell>
          <cell r="H130" t="str">
            <v>KRIDA CIPTA SATYA</v>
          </cell>
          <cell r="T130">
            <v>4431474115</v>
          </cell>
          <cell r="W130">
            <v>1</v>
          </cell>
          <cell r="X130">
            <v>0</v>
          </cell>
          <cell r="Y130">
            <v>0</v>
          </cell>
          <cell r="AF130" t="str">
            <v>Batu Licin</v>
          </cell>
        </row>
        <row r="131">
          <cell r="F131" t="str">
            <v>Jasa Lainnya</v>
          </cell>
          <cell r="H131" t="str">
            <v>MAMING ENAM SEMBILAN</v>
          </cell>
          <cell r="T131">
            <v>0</v>
          </cell>
          <cell r="W131">
            <v>1</v>
          </cell>
          <cell r="X131">
            <v>0</v>
          </cell>
          <cell r="Y131">
            <v>0</v>
          </cell>
          <cell r="AF131" t="str">
            <v>Batu Licin</v>
          </cell>
        </row>
        <row r="132">
          <cell r="F132" t="str">
            <v>Transportasi, Gudang dan Telekomunikasi</v>
          </cell>
          <cell r="H132" t="str">
            <v>MEGA UTAMA KHATULISTIWA</v>
          </cell>
          <cell r="T132">
            <v>2391655862</v>
          </cell>
          <cell r="W132">
            <v>1</v>
          </cell>
          <cell r="X132">
            <v>0</v>
          </cell>
          <cell r="Y132">
            <v>0</v>
          </cell>
          <cell r="AF132" t="str">
            <v>Batu Licin</v>
          </cell>
        </row>
        <row r="133">
          <cell r="F133" t="str">
            <v>Transportasi, Gudang dan Telekomunikasi</v>
          </cell>
          <cell r="H133" t="str">
            <v>MEGA UTAMA KHATULISTIWA</v>
          </cell>
          <cell r="T133">
            <v>23724906973</v>
          </cell>
          <cell r="W133">
            <v>1</v>
          </cell>
          <cell r="X133">
            <v>0</v>
          </cell>
          <cell r="Y133">
            <v>0</v>
          </cell>
          <cell r="AF133" t="str">
            <v>Batu Licin</v>
          </cell>
        </row>
        <row r="134">
          <cell r="F134" t="str">
            <v>Perdagangan dan Reparasi</v>
          </cell>
          <cell r="H134" t="str">
            <v>MITRA MEGAH PROFITAMAS</v>
          </cell>
          <cell r="T134">
            <v>153588750</v>
          </cell>
          <cell r="W134">
            <v>1</v>
          </cell>
          <cell r="X134">
            <v>0</v>
          </cell>
          <cell r="Y134">
            <v>0</v>
          </cell>
          <cell r="AF134" t="str">
            <v>Batu Licin</v>
          </cell>
        </row>
        <row r="135">
          <cell r="F135" t="str">
            <v>Hotel dan Restoran</v>
          </cell>
          <cell r="H135" t="str">
            <v>PESTA PORA ABADI</v>
          </cell>
          <cell r="T135">
            <v>20460340</v>
          </cell>
          <cell r="W135">
            <v>1</v>
          </cell>
          <cell r="X135">
            <v>0</v>
          </cell>
          <cell r="Y135">
            <v>0</v>
          </cell>
          <cell r="AF135" t="str">
            <v>Batu Licin</v>
          </cell>
        </row>
        <row r="136">
          <cell r="F136" t="str">
            <v>Hotel dan Restoran</v>
          </cell>
          <cell r="H136" t="str">
            <v>PESTA PORA ABADI</v>
          </cell>
          <cell r="T136">
            <v>11406500</v>
          </cell>
          <cell r="W136">
            <v>1</v>
          </cell>
          <cell r="X136">
            <v>18</v>
          </cell>
          <cell r="Y136">
            <v>0</v>
          </cell>
          <cell r="AF136" t="str">
            <v>Batu Licin</v>
          </cell>
        </row>
        <row r="137">
          <cell r="F137" t="str">
            <v>Hotel dan Restoran</v>
          </cell>
          <cell r="H137" t="str">
            <v>PESTA PORA ABADI</v>
          </cell>
          <cell r="T137">
            <v>32768000</v>
          </cell>
          <cell r="W137">
            <v>1</v>
          </cell>
          <cell r="X137">
            <v>26</v>
          </cell>
          <cell r="Y137">
            <v>0</v>
          </cell>
          <cell r="AF137" t="str">
            <v>Batu Licin</v>
          </cell>
        </row>
        <row r="138">
          <cell r="F138" t="str">
            <v>Pertambangan</v>
          </cell>
          <cell r="H138" t="str">
            <v>REZKI BATULICIN TRANSPORT</v>
          </cell>
          <cell r="T138">
            <v>9536750601</v>
          </cell>
          <cell r="W138">
            <v>1</v>
          </cell>
          <cell r="X138">
            <v>0</v>
          </cell>
          <cell r="Y138">
            <v>0</v>
          </cell>
          <cell r="AF138" t="str">
            <v>Batu Licin</v>
          </cell>
        </row>
        <row r="139">
          <cell r="F139" t="str">
            <v>Transportasi, Gudang dan Telekomunikasi</v>
          </cell>
          <cell r="H139" t="str">
            <v>REZKI BATULICIN TRANSPORT</v>
          </cell>
          <cell r="T139">
            <v>320398861</v>
          </cell>
          <cell r="W139">
            <v>1</v>
          </cell>
          <cell r="X139">
            <v>0</v>
          </cell>
          <cell r="Y139">
            <v>0</v>
          </cell>
          <cell r="AF139" t="str">
            <v>Batu Licin</v>
          </cell>
        </row>
        <row r="140">
          <cell r="F140" t="str">
            <v>Transportasi, Gudang dan Telekomunikasi</v>
          </cell>
          <cell r="H140" t="str">
            <v>REZKI BATULICIN TRANSPORT</v>
          </cell>
          <cell r="T140">
            <v>9530789286</v>
          </cell>
          <cell r="W140">
            <v>1</v>
          </cell>
          <cell r="X140">
            <v>0</v>
          </cell>
          <cell r="Y140">
            <v>0</v>
          </cell>
          <cell r="AF140" t="str">
            <v>Batu Licin</v>
          </cell>
        </row>
        <row r="141">
          <cell r="F141" t="str">
            <v>Transportasi, Gudang dan Telekomunikasi</v>
          </cell>
          <cell r="H141" t="str">
            <v>REZKI BATULICIN TRANSPORT</v>
          </cell>
          <cell r="T141">
            <v>137497929629</v>
          </cell>
          <cell r="W141">
            <v>1</v>
          </cell>
          <cell r="X141">
            <v>0</v>
          </cell>
          <cell r="Y141">
            <v>0</v>
          </cell>
          <cell r="AF141" t="str">
            <v>Batu Licin</v>
          </cell>
        </row>
        <row r="142">
          <cell r="F142" t="str">
            <v>Perdagangan dan Reparasi</v>
          </cell>
          <cell r="H142" t="str">
            <v>SAMATOR GAS INDUSTRI</v>
          </cell>
          <cell r="T142">
            <v>9531245723</v>
          </cell>
          <cell r="W142">
            <v>1</v>
          </cell>
          <cell r="X142">
            <v>0</v>
          </cell>
          <cell r="Y142">
            <v>0</v>
          </cell>
          <cell r="AF142" t="str">
            <v>Batu Licin</v>
          </cell>
        </row>
        <row r="143">
          <cell r="F143" t="str">
            <v>Perdagangan dan Reparasi</v>
          </cell>
          <cell r="H143" t="str">
            <v>SENTRA AGRO SUMBER RAYA</v>
          </cell>
          <cell r="T143">
            <v>2250000</v>
          </cell>
          <cell r="W143">
            <v>1</v>
          </cell>
          <cell r="X143">
            <v>0</v>
          </cell>
          <cell r="Y143">
            <v>0</v>
          </cell>
          <cell r="AF143" t="str">
            <v>Batu Licin</v>
          </cell>
        </row>
        <row r="144">
          <cell r="F144" t="str">
            <v>Perdagangan dan Reparasi</v>
          </cell>
          <cell r="H144" t="str">
            <v>SENTRA AGRO SUMBER RAYA</v>
          </cell>
          <cell r="T144">
            <v>500000</v>
          </cell>
          <cell r="W144">
            <v>1</v>
          </cell>
          <cell r="X144">
            <v>0</v>
          </cell>
          <cell r="Y144">
            <v>0</v>
          </cell>
          <cell r="AF144" t="str">
            <v>Batu Licin</v>
          </cell>
        </row>
        <row r="145">
          <cell r="F145" t="str">
            <v>Perdagangan dan Reparasi</v>
          </cell>
          <cell r="H145" t="str">
            <v>SENTRA AGRO SUMBER RAYA</v>
          </cell>
          <cell r="T145">
            <v>122000000</v>
          </cell>
          <cell r="W145">
            <v>1</v>
          </cell>
          <cell r="X145">
            <v>0</v>
          </cell>
          <cell r="Y145">
            <v>0</v>
          </cell>
          <cell r="AF145" t="str">
            <v>Batu Licin</v>
          </cell>
        </row>
        <row r="146">
          <cell r="F146" t="str">
            <v>Perdagangan dan Reparasi</v>
          </cell>
          <cell r="H146" t="str">
            <v>SUMBER ALFARIA TRIJAYA</v>
          </cell>
          <cell r="T146">
            <v>1320242950</v>
          </cell>
          <cell r="W146">
            <v>1</v>
          </cell>
          <cell r="X146">
            <v>0</v>
          </cell>
          <cell r="Y146">
            <v>0</v>
          </cell>
          <cell r="AF146" t="str">
            <v>Batu Licin</v>
          </cell>
        </row>
        <row r="147">
          <cell r="F147" t="str">
            <v>Perdagangan dan Reparasi</v>
          </cell>
          <cell r="H147" t="str">
            <v>SUMBER ALFARIA TRIJAYA</v>
          </cell>
          <cell r="T147">
            <v>1101691943</v>
          </cell>
          <cell r="W147">
            <v>1</v>
          </cell>
          <cell r="X147">
            <v>0</v>
          </cell>
          <cell r="Y147">
            <v>0</v>
          </cell>
          <cell r="AF147" t="str">
            <v>Batu Licin</v>
          </cell>
        </row>
        <row r="148">
          <cell r="F148" t="str">
            <v>Perdagangan dan Reparasi</v>
          </cell>
          <cell r="H148" t="str">
            <v>SUMBER ALFARIA TRIJAYA</v>
          </cell>
          <cell r="T148">
            <v>1055914425</v>
          </cell>
          <cell r="W148">
            <v>1</v>
          </cell>
          <cell r="X148">
            <v>0</v>
          </cell>
          <cell r="Y148">
            <v>0</v>
          </cell>
          <cell r="AF148" t="str">
            <v>Batu Licin</v>
          </cell>
        </row>
        <row r="149">
          <cell r="F149" t="str">
            <v>Perdagangan dan Reparasi</v>
          </cell>
          <cell r="H149" t="str">
            <v>SUMBER ALFARIA TRIJAYA</v>
          </cell>
          <cell r="T149">
            <v>1064991002</v>
          </cell>
          <cell r="W149">
            <v>1</v>
          </cell>
          <cell r="X149">
            <v>0</v>
          </cell>
          <cell r="Y149">
            <v>0</v>
          </cell>
          <cell r="AF149" t="str">
            <v>Batu Licin</v>
          </cell>
        </row>
        <row r="150">
          <cell r="F150" t="str">
            <v>Perdagangan dan Reparasi</v>
          </cell>
          <cell r="H150" t="str">
            <v>SUMBER ALFARIA TRIJAYA</v>
          </cell>
          <cell r="T150">
            <v>2952674</v>
          </cell>
          <cell r="W150">
            <v>1</v>
          </cell>
          <cell r="X150">
            <v>0</v>
          </cell>
          <cell r="Y150">
            <v>0</v>
          </cell>
          <cell r="AF150" t="str">
            <v>Batu Licin</v>
          </cell>
        </row>
        <row r="151">
          <cell r="F151" t="str">
            <v>Perdagangan dan Reparasi</v>
          </cell>
          <cell r="H151" t="str">
            <v>SUMBER CIPTA MULTINIAGA</v>
          </cell>
          <cell r="T151">
            <v>682270300</v>
          </cell>
          <cell r="W151">
            <v>1</v>
          </cell>
          <cell r="X151">
            <v>0</v>
          </cell>
          <cell r="Y151">
            <v>0</v>
          </cell>
          <cell r="AF151" t="str">
            <v>Batu Licin</v>
          </cell>
        </row>
        <row r="152">
          <cell r="F152" t="str">
            <v>Konstruksi</v>
          </cell>
          <cell r="H152" t="str">
            <v>TATA BUANA KARYA</v>
          </cell>
          <cell r="T152">
            <v>127960055437</v>
          </cell>
          <cell r="W152">
            <v>1</v>
          </cell>
          <cell r="X152">
            <v>0</v>
          </cell>
          <cell r="Y152">
            <v>0</v>
          </cell>
          <cell r="AF152" t="str">
            <v>Batu Licin</v>
          </cell>
        </row>
        <row r="153">
          <cell r="F153" t="str">
            <v>Transportasi, Gudang dan Telekomunikasi</v>
          </cell>
          <cell r="H153" t="str">
            <v>TIRTAKENCANA TATAWARNA</v>
          </cell>
          <cell r="T153">
            <v>0</v>
          </cell>
          <cell r="W153">
            <v>1</v>
          </cell>
          <cell r="X153">
            <v>0</v>
          </cell>
          <cell r="Y153">
            <v>0</v>
          </cell>
          <cell r="AF153" t="str">
            <v>Batu Licin</v>
          </cell>
        </row>
        <row r="154">
          <cell r="F154" t="str">
            <v>Perdagangan dan Reparasi</v>
          </cell>
          <cell r="H154" t="str">
            <v>TIRTAKENCANA TATAWARNA</v>
          </cell>
          <cell r="T154">
            <v>0</v>
          </cell>
          <cell r="W154">
            <v>1</v>
          </cell>
          <cell r="X154">
            <v>0</v>
          </cell>
          <cell r="Y154">
            <v>0</v>
          </cell>
          <cell r="AF154" t="str">
            <v>Batu Licin</v>
          </cell>
        </row>
        <row r="155">
          <cell r="F155" t="str">
            <v>Perdagangan dan Reparasi</v>
          </cell>
          <cell r="H155" t="str">
            <v>TIRTAKENCANA TATAWARNA</v>
          </cell>
          <cell r="T155">
            <v>0</v>
          </cell>
          <cell r="W155">
            <v>1</v>
          </cell>
          <cell r="X155">
            <v>1</v>
          </cell>
          <cell r="Y155">
            <v>0</v>
          </cell>
          <cell r="AF155" t="str">
            <v>Batu Licin</v>
          </cell>
        </row>
        <row r="156">
          <cell r="F156" t="str">
            <v>Perdagangan dan Reparasi</v>
          </cell>
          <cell r="H156" t="str">
            <v>TIRTAKENCANA TATAWARNA</v>
          </cell>
          <cell r="T156">
            <v>0</v>
          </cell>
          <cell r="W156">
            <v>1</v>
          </cell>
          <cell r="X156">
            <v>1</v>
          </cell>
          <cell r="Y156">
            <v>0</v>
          </cell>
          <cell r="AF156" t="str">
            <v>Batu Licin</v>
          </cell>
        </row>
        <row r="157">
          <cell r="F157" t="str">
            <v>Perdagangan dan Reparasi</v>
          </cell>
          <cell r="H157" t="str">
            <v>TIRTAKENCANA TATAWARNA</v>
          </cell>
          <cell r="T157">
            <v>0</v>
          </cell>
          <cell r="W157">
            <v>1</v>
          </cell>
          <cell r="X157">
            <v>1</v>
          </cell>
          <cell r="Y157">
            <v>0</v>
          </cell>
          <cell r="AF157" t="str">
            <v>Batu Licin</v>
          </cell>
        </row>
        <row r="158">
          <cell r="F158" t="str">
            <v>Perdagangan dan Reparasi</v>
          </cell>
          <cell r="H158" t="str">
            <v>TIRTAKENCANA TATAWARNA</v>
          </cell>
          <cell r="T158">
            <v>1473497956</v>
          </cell>
          <cell r="W158">
            <v>1</v>
          </cell>
          <cell r="X158">
            <v>1</v>
          </cell>
          <cell r="Y158">
            <v>0</v>
          </cell>
          <cell r="AF158" t="str">
            <v>Batu Licin</v>
          </cell>
        </row>
        <row r="159">
          <cell r="F159" t="str">
            <v>Perdagangan dan Reparasi</v>
          </cell>
          <cell r="H159" t="str">
            <v>BATULICIN AGRO SENTOSA</v>
          </cell>
          <cell r="T159">
            <v>9766406919</v>
          </cell>
          <cell r="W159">
            <v>1</v>
          </cell>
          <cell r="X159">
            <v>0</v>
          </cell>
          <cell r="Y159">
            <v>0</v>
          </cell>
          <cell r="AF159" t="str">
            <v>Karang Bintang</v>
          </cell>
        </row>
        <row r="160">
          <cell r="F160" t="str">
            <v>Tanaman Pangan, Perkebunan, dan Peternakan</v>
          </cell>
          <cell r="H160" t="str">
            <v>BORNEO PALM PLANTATION</v>
          </cell>
          <cell r="T160">
            <v>0</v>
          </cell>
          <cell r="W160">
            <v>1</v>
          </cell>
          <cell r="X160">
            <v>0</v>
          </cell>
          <cell r="Y160">
            <v>0</v>
          </cell>
          <cell r="AF160" t="str">
            <v>Karang Bintang</v>
          </cell>
        </row>
        <row r="161">
          <cell r="F161" t="str">
            <v>Tanaman Pangan, Perkebunan, dan Peternakan</v>
          </cell>
          <cell r="H161" t="str">
            <v>BORNEO PALM PLANTATION</v>
          </cell>
          <cell r="T161">
            <v>0</v>
          </cell>
          <cell r="W161">
            <v>1</v>
          </cell>
          <cell r="X161">
            <v>0</v>
          </cell>
          <cell r="Y161">
            <v>0</v>
          </cell>
          <cell r="AF161" t="str">
            <v>Karang Bintang</v>
          </cell>
        </row>
        <row r="162">
          <cell r="F162" t="str">
            <v>Industri Karet dan Plastik</v>
          </cell>
          <cell r="H162" t="str">
            <v>NUSANTARA BATULICIN</v>
          </cell>
          <cell r="T162">
            <v>653342000</v>
          </cell>
          <cell r="W162">
            <v>1</v>
          </cell>
          <cell r="X162">
            <v>0</v>
          </cell>
          <cell r="Y162">
            <v>0</v>
          </cell>
          <cell r="AF162" t="str">
            <v>Karang Bintang</v>
          </cell>
        </row>
        <row r="163">
          <cell r="F163" t="str">
            <v>Perdagangan dan Reparasi</v>
          </cell>
          <cell r="H163" t="str">
            <v>KARYA JAYA LOGISTIK</v>
          </cell>
          <cell r="T163">
            <v>25000000</v>
          </cell>
          <cell r="W163">
            <v>1</v>
          </cell>
          <cell r="X163">
            <v>0</v>
          </cell>
          <cell r="Y163">
            <v>0</v>
          </cell>
          <cell r="AF163" t="str">
            <v>Kusan Hilir</v>
          </cell>
        </row>
        <row r="164">
          <cell r="F164" t="str">
            <v>Perdagangan dan Reparasi</v>
          </cell>
          <cell r="H164" t="str">
            <v>KARYA JAYA LOGISTIK</v>
          </cell>
          <cell r="T164">
            <v>25000000</v>
          </cell>
          <cell r="W164">
            <v>1</v>
          </cell>
          <cell r="X164">
            <v>0</v>
          </cell>
          <cell r="Y164">
            <v>0</v>
          </cell>
          <cell r="AF164" t="str">
            <v>Kusan Hilir</v>
          </cell>
        </row>
        <row r="165">
          <cell r="F165" t="str">
            <v>Perdagangan dan Reparasi</v>
          </cell>
          <cell r="H165" t="str">
            <v>KARYA JAYA LOGISTIK</v>
          </cell>
          <cell r="T165">
            <v>45000000</v>
          </cell>
          <cell r="W165">
            <v>1</v>
          </cell>
          <cell r="X165">
            <v>0</v>
          </cell>
          <cell r="Y165">
            <v>0</v>
          </cell>
          <cell r="AF165" t="str">
            <v>Kusan Hilir</v>
          </cell>
        </row>
        <row r="166">
          <cell r="F166" t="str">
            <v>Perdagangan dan Reparasi</v>
          </cell>
          <cell r="H166" t="str">
            <v>KARYA JAYA LOGISTIK</v>
          </cell>
          <cell r="T166">
            <v>25000000</v>
          </cell>
          <cell r="W166">
            <v>1</v>
          </cell>
          <cell r="X166">
            <v>0</v>
          </cell>
          <cell r="Y166">
            <v>0</v>
          </cell>
          <cell r="AF166" t="str">
            <v>Kusan Hilir</v>
          </cell>
        </row>
        <row r="167">
          <cell r="F167" t="str">
            <v>Industri Kendaraan Bermotor dan Alat Transportasi Lain</v>
          </cell>
          <cell r="H167" t="str">
            <v>KARYA JAYA LOGISTIK</v>
          </cell>
          <cell r="T167">
            <v>25000000</v>
          </cell>
          <cell r="W167">
            <v>1</v>
          </cell>
          <cell r="X167">
            <v>0</v>
          </cell>
          <cell r="Y167">
            <v>0</v>
          </cell>
          <cell r="AF167" t="str">
            <v>Kusan Hilir</v>
          </cell>
        </row>
        <row r="168">
          <cell r="F168" t="str">
            <v>Industri Makanan</v>
          </cell>
          <cell r="H168" t="str">
            <v>KARYA JAYA LOGISTIK</v>
          </cell>
          <cell r="T168">
            <v>25000000</v>
          </cell>
          <cell r="W168">
            <v>1</v>
          </cell>
          <cell r="X168">
            <v>0</v>
          </cell>
          <cell r="Y168">
            <v>0</v>
          </cell>
          <cell r="AF168" t="str">
            <v>Kusan Hilir</v>
          </cell>
        </row>
        <row r="169">
          <cell r="F169" t="str">
            <v>Transportasi, Gudang dan Telekomunikasi</v>
          </cell>
          <cell r="H169" t="str">
            <v>KARYA JAYA LOGISTIK</v>
          </cell>
          <cell r="T169">
            <v>25000000</v>
          </cell>
          <cell r="W169">
            <v>1</v>
          </cell>
          <cell r="X169">
            <v>0</v>
          </cell>
          <cell r="Y169">
            <v>0</v>
          </cell>
          <cell r="AF169" t="str">
            <v>Kusan Hilir</v>
          </cell>
        </row>
        <row r="170">
          <cell r="F170" t="str">
            <v>Perdagangan dan Reparasi</v>
          </cell>
          <cell r="H170" t="str">
            <v>KARYA JAYA LOGISTIK</v>
          </cell>
          <cell r="T170">
            <v>182574976</v>
          </cell>
          <cell r="W170">
            <v>1</v>
          </cell>
          <cell r="X170">
            <v>0</v>
          </cell>
          <cell r="Y170">
            <v>0</v>
          </cell>
          <cell r="AF170" t="str">
            <v>Kusan Hilir</v>
          </cell>
        </row>
        <row r="171">
          <cell r="F171" t="str">
            <v>Industri Makanan</v>
          </cell>
          <cell r="H171" t="str">
            <v>KARYA JAYA LOGISTIK</v>
          </cell>
          <cell r="T171">
            <v>25000000</v>
          </cell>
          <cell r="W171">
            <v>1</v>
          </cell>
          <cell r="X171">
            <v>0</v>
          </cell>
          <cell r="Y171">
            <v>0</v>
          </cell>
          <cell r="AF171" t="str">
            <v>Kusan Hilir</v>
          </cell>
        </row>
        <row r="172">
          <cell r="F172" t="str">
            <v>Industri Makanan</v>
          </cell>
          <cell r="H172" t="str">
            <v>KARYA JAYA LOGISTIK</v>
          </cell>
          <cell r="T172">
            <v>25000000</v>
          </cell>
          <cell r="W172">
            <v>1</v>
          </cell>
          <cell r="X172">
            <v>0</v>
          </cell>
          <cell r="Y172">
            <v>0</v>
          </cell>
          <cell r="AF172" t="str">
            <v>Kusan Hilir</v>
          </cell>
        </row>
        <row r="173">
          <cell r="F173" t="str">
            <v>Perdagangan dan Reparasi</v>
          </cell>
          <cell r="H173" t="str">
            <v>KARYA JAYA LOGISTIK</v>
          </cell>
          <cell r="T173">
            <v>25000000</v>
          </cell>
          <cell r="W173">
            <v>1</v>
          </cell>
          <cell r="X173">
            <v>0</v>
          </cell>
          <cell r="Y173">
            <v>0</v>
          </cell>
          <cell r="AF173" t="str">
            <v>Kusan Hilir</v>
          </cell>
        </row>
        <row r="174">
          <cell r="F174" t="str">
            <v>Perdagangan dan Reparasi</v>
          </cell>
          <cell r="H174" t="str">
            <v>KARYA JAYA LOGISTIK</v>
          </cell>
          <cell r="T174">
            <v>25000000</v>
          </cell>
          <cell r="W174">
            <v>1</v>
          </cell>
          <cell r="X174">
            <v>0</v>
          </cell>
          <cell r="Y174">
            <v>0</v>
          </cell>
          <cell r="AF174" t="str">
            <v>Kusan Hilir</v>
          </cell>
        </row>
        <row r="175">
          <cell r="F175" t="str">
            <v>Perdagangan dan Reparasi</v>
          </cell>
          <cell r="H175" t="str">
            <v>KARYA JAYA LOGISTIK</v>
          </cell>
          <cell r="T175">
            <v>5000000</v>
          </cell>
          <cell r="W175">
            <v>1</v>
          </cell>
          <cell r="X175">
            <v>0</v>
          </cell>
          <cell r="Y175">
            <v>0</v>
          </cell>
          <cell r="AF175" t="str">
            <v>Kusan Hilir</v>
          </cell>
        </row>
        <row r="176">
          <cell r="F176" t="str">
            <v>Industri Makanan</v>
          </cell>
          <cell r="H176" t="str">
            <v>UDANG MARIANI ENAM SEMBILAN</v>
          </cell>
          <cell r="T176">
            <v>3424462562</v>
          </cell>
          <cell r="W176">
            <v>1</v>
          </cell>
          <cell r="X176">
            <v>0</v>
          </cell>
          <cell r="Y176">
            <v>0</v>
          </cell>
          <cell r="AF176" t="str">
            <v>Kusan Hilir</v>
          </cell>
        </row>
        <row r="177">
          <cell r="F177" t="str">
            <v>Perikanan</v>
          </cell>
          <cell r="H177" t="str">
            <v>UDANG MARIANI ENAM SEMBILAN</v>
          </cell>
          <cell r="T177">
            <v>2418326714</v>
          </cell>
          <cell r="W177">
            <v>1</v>
          </cell>
          <cell r="X177">
            <v>0</v>
          </cell>
          <cell r="Y177">
            <v>0</v>
          </cell>
          <cell r="AF177" t="str">
            <v>Kusan Hilir</v>
          </cell>
        </row>
        <row r="178">
          <cell r="F178" t="str">
            <v>Perdagangan dan Reparasi</v>
          </cell>
          <cell r="H178" t="str">
            <v>ADISURYA CIPTA LESTARI</v>
          </cell>
          <cell r="T178">
            <v>15000000</v>
          </cell>
          <cell r="W178">
            <v>1</v>
          </cell>
          <cell r="X178">
            <v>0</v>
          </cell>
          <cell r="Y178">
            <v>0</v>
          </cell>
          <cell r="AF178" t="str">
            <v>Kusan Hulu</v>
          </cell>
        </row>
        <row r="179">
          <cell r="F179" t="str">
            <v>Perdagangan dan Reparasi</v>
          </cell>
          <cell r="H179" t="str">
            <v>ADISURYA CIPTA LESTARI</v>
          </cell>
          <cell r="T179">
            <v>0</v>
          </cell>
          <cell r="W179">
            <v>1</v>
          </cell>
          <cell r="X179">
            <v>0</v>
          </cell>
          <cell r="Y179">
            <v>0</v>
          </cell>
          <cell r="AF179" t="str">
            <v>Kusan Hulu</v>
          </cell>
        </row>
        <row r="180">
          <cell r="F180" t="str">
            <v>Tanaman Pangan, Perkebunan, dan Peternakan</v>
          </cell>
          <cell r="H180" t="str">
            <v>ADISURYA CIPTA LESTARI</v>
          </cell>
          <cell r="T180">
            <v>126798346051</v>
          </cell>
          <cell r="W180">
            <v>1</v>
          </cell>
          <cell r="X180">
            <v>0</v>
          </cell>
          <cell r="Y180">
            <v>0</v>
          </cell>
          <cell r="AF180" t="str">
            <v>Kusan Hulu</v>
          </cell>
        </row>
        <row r="181">
          <cell r="F181" t="str">
            <v>Industri Makanan</v>
          </cell>
          <cell r="H181" t="str">
            <v>ADISURYA CIPTA LESTARI</v>
          </cell>
          <cell r="T181">
            <v>24934486325</v>
          </cell>
          <cell r="W181">
            <v>1</v>
          </cell>
          <cell r="X181">
            <v>0</v>
          </cell>
          <cell r="Y181">
            <v>0</v>
          </cell>
          <cell r="AF181" t="str">
            <v>Kusan Hulu</v>
          </cell>
        </row>
        <row r="182">
          <cell r="F182" t="str">
            <v>Transportasi, Gudang dan Telekomunikasi</v>
          </cell>
          <cell r="H182" t="str">
            <v>AXIS PRATAMA INDONESIA</v>
          </cell>
          <cell r="T182">
            <v>327184977</v>
          </cell>
          <cell r="W182">
            <v>1</v>
          </cell>
          <cell r="X182">
            <v>0</v>
          </cell>
          <cell r="Y182">
            <v>0</v>
          </cell>
          <cell r="AF182" t="str">
            <v>Kusan Tengah</v>
          </cell>
        </row>
        <row r="183">
          <cell r="F183" t="str">
            <v>Transportasi, Gudang dan Telekomunikasi</v>
          </cell>
          <cell r="H183" t="str">
            <v>AXIS PRATAMA INDONESIA</v>
          </cell>
          <cell r="T183">
            <v>317573588</v>
          </cell>
          <cell r="W183">
            <v>1</v>
          </cell>
          <cell r="X183">
            <v>0</v>
          </cell>
          <cell r="Y183">
            <v>0</v>
          </cell>
          <cell r="AF183" t="str">
            <v>Kusan Tengah</v>
          </cell>
        </row>
        <row r="184">
          <cell r="F184" t="str">
            <v>Transportasi, Gudang dan Telekomunikasi</v>
          </cell>
          <cell r="H184" t="str">
            <v>AXIS PRATAMA INDONESIA</v>
          </cell>
          <cell r="T184">
            <v>313651483</v>
          </cell>
          <cell r="W184">
            <v>1</v>
          </cell>
          <cell r="X184">
            <v>0</v>
          </cell>
          <cell r="Y184">
            <v>0</v>
          </cell>
          <cell r="AF184" t="str">
            <v>Kusan Tengah</v>
          </cell>
        </row>
        <row r="185">
          <cell r="F185" t="str">
            <v>Perdagangan dan Reparasi</v>
          </cell>
          <cell r="H185" t="str">
            <v>AXIS PRATAMA INDONESIA</v>
          </cell>
          <cell r="T185">
            <v>8088452591</v>
          </cell>
          <cell r="W185">
            <v>1</v>
          </cell>
          <cell r="X185">
            <v>0</v>
          </cell>
          <cell r="Y185">
            <v>0</v>
          </cell>
          <cell r="AF185" t="str">
            <v>Kusan Tengah</v>
          </cell>
        </row>
        <row r="186">
          <cell r="F186" t="str">
            <v>Perdagangan dan Reparasi</v>
          </cell>
          <cell r="H186" t="str">
            <v>SUMBER ALFARIA TRIJAYA</v>
          </cell>
          <cell r="T186">
            <v>27306000</v>
          </cell>
          <cell r="W186">
            <v>1</v>
          </cell>
          <cell r="X186">
            <v>0</v>
          </cell>
          <cell r="Y186">
            <v>0</v>
          </cell>
          <cell r="AF186" t="str">
            <v>Kusan Tengah</v>
          </cell>
        </row>
        <row r="187">
          <cell r="F187" t="str">
            <v>Perdagangan dan Reparasi</v>
          </cell>
          <cell r="H187" t="str">
            <v>SUMBER ALFARIA TRIJAYA</v>
          </cell>
          <cell r="T187">
            <v>115313058</v>
          </cell>
          <cell r="W187">
            <v>1</v>
          </cell>
          <cell r="X187">
            <v>0</v>
          </cell>
          <cell r="Y187">
            <v>0</v>
          </cell>
          <cell r="AF187" t="str">
            <v>Kusan Tengah</v>
          </cell>
        </row>
        <row r="188">
          <cell r="F188" t="str">
            <v>Transportasi, Gudang dan Telekomunikasi</v>
          </cell>
          <cell r="H188" t="str">
            <v>JHONLIN AGRO RAYA Tbk</v>
          </cell>
          <cell r="T188">
            <v>592960697779</v>
          </cell>
          <cell r="W188">
            <v>1</v>
          </cell>
          <cell r="X188">
            <v>0</v>
          </cell>
          <cell r="Y188">
            <v>0</v>
          </cell>
          <cell r="AF188" t="str">
            <v>Mantewe</v>
          </cell>
        </row>
        <row r="189">
          <cell r="F189" t="str">
            <v>Industri Kimia Dan Farmasi</v>
          </cell>
          <cell r="H189" t="str">
            <v>JHONLIN AGRO RAYA Tbk</v>
          </cell>
          <cell r="T189">
            <v>190150015702</v>
          </cell>
          <cell r="W189">
            <v>1</v>
          </cell>
          <cell r="X189">
            <v>3</v>
          </cell>
          <cell r="Y189">
            <v>0</v>
          </cell>
          <cell r="AF189" t="str">
            <v>Mantewe</v>
          </cell>
        </row>
        <row r="190">
          <cell r="F190" t="str">
            <v>Konstruksi</v>
          </cell>
          <cell r="H190" t="str">
            <v>PROFESIONAL TELEKOMUNIKASI INDONESIA</v>
          </cell>
          <cell r="T190">
            <v>0</v>
          </cell>
          <cell r="W190">
            <v>1</v>
          </cell>
          <cell r="X190">
            <v>0</v>
          </cell>
          <cell r="Y190">
            <v>0</v>
          </cell>
          <cell r="AF190" t="str">
            <v>Mantewe</v>
          </cell>
        </row>
        <row r="191">
          <cell r="F191" t="str">
            <v>Konstruksi</v>
          </cell>
          <cell r="H191" t="str">
            <v>SOLUSI TUNAS PRATAMA</v>
          </cell>
          <cell r="T191">
            <v>0</v>
          </cell>
          <cell r="W191">
            <v>1</v>
          </cell>
          <cell r="X191">
            <v>0</v>
          </cell>
          <cell r="Y191">
            <v>0</v>
          </cell>
          <cell r="AF191" t="str">
            <v>Mantewe</v>
          </cell>
        </row>
        <row r="192">
          <cell r="F192" t="str">
            <v>Konstruksi</v>
          </cell>
          <cell r="H192" t="str">
            <v>SOLUSI TUNAS PRATAMA</v>
          </cell>
          <cell r="T192">
            <v>0</v>
          </cell>
          <cell r="W192">
            <v>1</v>
          </cell>
          <cell r="X192">
            <v>0</v>
          </cell>
          <cell r="Y192">
            <v>0</v>
          </cell>
          <cell r="AF192" t="str">
            <v>Mantewe</v>
          </cell>
        </row>
        <row r="193">
          <cell r="F193" t="str">
            <v>Konstruksi</v>
          </cell>
          <cell r="H193" t="str">
            <v>SOLUSI TUNAS PRATAMA</v>
          </cell>
          <cell r="T193">
            <v>0</v>
          </cell>
          <cell r="W193">
            <v>1</v>
          </cell>
          <cell r="X193">
            <v>0</v>
          </cell>
          <cell r="Y193">
            <v>0</v>
          </cell>
          <cell r="AF193" t="str">
            <v>Mantewe</v>
          </cell>
        </row>
        <row r="194">
          <cell r="F194" t="str">
            <v>Perdagangan dan Reparasi</v>
          </cell>
          <cell r="H194" t="str">
            <v>SUMBER ALFARIA TRIJAYA</v>
          </cell>
          <cell r="T194">
            <v>1400616250</v>
          </cell>
          <cell r="W194">
            <v>1</v>
          </cell>
          <cell r="X194">
            <v>0</v>
          </cell>
          <cell r="Y194">
            <v>0</v>
          </cell>
          <cell r="AF194" t="str">
            <v>Mantewe</v>
          </cell>
        </row>
        <row r="195">
          <cell r="F195" t="str">
            <v>Perdagangan dan Reparasi</v>
          </cell>
          <cell r="H195" t="str">
            <v>SUMBER ALFARIA TRIJAYA</v>
          </cell>
          <cell r="T195">
            <v>53982214</v>
          </cell>
          <cell r="W195">
            <v>1</v>
          </cell>
          <cell r="X195">
            <v>0</v>
          </cell>
          <cell r="Y195">
            <v>0</v>
          </cell>
          <cell r="AF195" t="str">
            <v>Mantewe</v>
          </cell>
        </row>
        <row r="196">
          <cell r="F196" t="str">
            <v>Perdagangan dan Reparasi</v>
          </cell>
          <cell r="H196" t="str">
            <v>SUMBER ALFARIA TRIJAYA</v>
          </cell>
          <cell r="T196">
            <v>23635991</v>
          </cell>
          <cell r="W196">
            <v>1</v>
          </cell>
          <cell r="X196">
            <v>0</v>
          </cell>
          <cell r="Y196">
            <v>0</v>
          </cell>
          <cell r="AF196" t="str">
            <v>Mantewe</v>
          </cell>
        </row>
        <row r="197">
          <cell r="F197" t="str">
            <v>Listrik, Gas dan Air</v>
          </cell>
          <cell r="H197" t="str">
            <v>SUMBERDAYA SEWATAMA</v>
          </cell>
          <cell r="T197">
            <v>665000000</v>
          </cell>
          <cell r="W197">
            <v>1</v>
          </cell>
          <cell r="X197">
            <v>0</v>
          </cell>
          <cell r="Y197">
            <v>0</v>
          </cell>
          <cell r="AF197" t="str">
            <v>Mantewe</v>
          </cell>
        </row>
        <row r="198">
          <cell r="F198" t="str">
            <v>Konstruksi</v>
          </cell>
          <cell r="H198" t="str">
            <v>TOWER BERSAMA</v>
          </cell>
          <cell r="T198">
            <v>755345741</v>
          </cell>
          <cell r="W198">
            <v>1</v>
          </cell>
          <cell r="X198">
            <v>0</v>
          </cell>
          <cell r="Y198">
            <v>0</v>
          </cell>
          <cell r="AF198" t="str">
            <v>Mantewe</v>
          </cell>
        </row>
        <row r="199">
          <cell r="F199" t="str">
            <v>Konstruksi</v>
          </cell>
          <cell r="H199" t="str">
            <v>TOWER BERSAMA</v>
          </cell>
          <cell r="T199">
            <v>755345741</v>
          </cell>
          <cell r="W199">
            <v>1</v>
          </cell>
          <cell r="X199">
            <v>0</v>
          </cell>
          <cell r="Y199">
            <v>0</v>
          </cell>
          <cell r="AF199" t="str">
            <v>Mantewe</v>
          </cell>
        </row>
        <row r="200">
          <cell r="F200" t="str">
            <v>Konstruksi</v>
          </cell>
          <cell r="H200" t="str">
            <v>TOWER BERSAMA</v>
          </cell>
          <cell r="T200">
            <v>755345741</v>
          </cell>
          <cell r="W200">
            <v>1</v>
          </cell>
          <cell r="X200">
            <v>0</v>
          </cell>
          <cell r="Y200">
            <v>0</v>
          </cell>
          <cell r="AF200" t="str">
            <v>Mantewe</v>
          </cell>
        </row>
        <row r="201">
          <cell r="F201" t="str">
            <v>Konstruksi</v>
          </cell>
          <cell r="H201" t="str">
            <v>TOWER BERSAMA</v>
          </cell>
          <cell r="T201">
            <v>755345741</v>
          </cell>
          <cell r="W201">
            <v>1</v>
          </cell>
          <cell r="X201">
            <v>0</v>
          </cell>
          <cell r="Y201">
            <v>0</v>
          </cell>
          <cell r="AF201" t="str">
            <v>Mantewe</v>
          </cell>
        </row>
        <row r="202">
          <cell r="F202" t="str">
            <v>Pertambangan</v>
          </cell>
          <cell r="H202" t="str">
            <v>TUNAS INTI ABADI</v>
          </cell>
          <cell r="T202">
            <v>32770544416</v>
          </cell>
          <cell r="W202">
            <v>1</v>
          </cell>
          <cell r="X202">
            <v>0</v>
          </cell>
          <cell r="Y202">
            <v>0</v>
          </cell>
          <cell r="AF202" t="str">
            <v>Mantewe</v>
          </cell>
        </row>
        <row r="203">
          <cell r="F203" t="str">
            <v>Kehutanan</v>
          </cell>
          <cell r="H203" t="str">
            <v>BATULICIN BUMI BERSUJUD</v>
          </cell>
          <cell r="T203">
            <v>2098896972</v>
          </cell>
          <cell r="W203">
            <v>1</v>
          </cell>
          <cell r="X203">
            <v>0</v>
          </cell>
          <cell r="Y203">
            <v>0</v>
          </cell>
          <cell r="AF203" t="str">
            <v>Satui</v>
          </cell>
        </row>
        <row r="204">
          <cell r="F204" t="str">
            <v>Kehutanan</v>
          </cell>
          <cell r="H204" t="str">
            <v>BATULICIN BUMI BERSUJUD</v>
          </cell>
          <cell r="T204">
            <v>5581076108</v>
          </cell>
          <cell r="W204">
            <v>1</v>
          </cell>
          <cell r="X204">
            <v>0</v>
          </cell>
          <cell r="Y204">
            <v>0</v>
          </cell>
          <cell r="AF204" t="str">
            <v>Satui</v>
          </cell>
        </row>
        <row r="205">
          <cell r="F205" t="str">
            <v>Transportasi, Gudang dan Telekomunikasi</v>
          </cell>
          <cell r="H205" t="str">
            <v>BAYAN RESOURCES</v>
          </cell>
          <cell r="T205">
            <v>0</v>
          </cell>
          <cell r="W205">
            <v>1</v>
          </cell>
          <cell r="X205">
            <v>0</v>
          </cell>
          <cell r="Y205">
            <v>0</v>
          </cell>
          <cell r="AF205" t="str">
            <v>Satui</v>
          </cell>
        </row>
        <row r="206">
          <cell r="F206" t="str">
            <v>Perdagangan dan Reparasi</v>
          </cell>
          <cell r="H206" t="str">
            <v>BAYAN RESOURCES</v>
          </cell>
          <cell r="T206">
            <v>0</v>
          </cell>
          <cell r="W206">
            <v>1</v>
          </cell>
          <cell r="X206">
            <v>0</v>
          </cell>
          <cell r="Y206">
            <v>0</v>
          </cell>
          <cell r="AF206" t="str">
            <v>Satui</v>
          </cell>
        </row>
        <row r="207">
          <cell r="F207" t="str">
            <v>Tanaman Pangan, Perkebunan, dan Peternakan</v>
          </cell>
          <cell r="H207" t="str">
            <v>BUANA KARYA BHAKTI</v>
          </cell>
          <cell r="T207">
            <v>438370640659</v>
          </cell>
          <cell r="W207">
            <v>1</v>
          </cell>
          <cell r="X207">
            <v>0</v>
          </cell>
          <cell r="Y207">
            <v>0</v>
          </cell>
          <cell r="AF207" t="str">
            <v>Satui</v>
          </cell>
        </row>
        <row r="208">
          <cell r="F208" t="str">
            <v>Industri Makanan</v>
          </cell>
          <cell r="H208" t="str">
            <v>BUANA KARYA BHAKTI</v>
          </cell>
          <cell r="T208">
            <v>182951580571</v>
          </cell>
          <cell r="W208">
            <v>1</v>
          </cell>
          <cell r="X208">
            <v>0</v>
          </cell>
          <cell r="Y208">
            <v>0</v>
          </cell>
          <cell r="AF208" t="str">
            <v>Satui</v>
          </cell>
        </row>
        <row r="209">
          <cell r="F209" t="str">
            <v>Jasa Lainnya</v>
          </cell>
          <cell r="H209" t="str">
            <v>BUANA KARYA BHAKTI</v>
          </cell>
          <cell r="T209">
            <v>0</v>
          </cell>
          <cell r="W209">
            <v>1</v>
          </cell>
          <cell r="X209">
            <v>0</v>
          </cell>
          <cell r="Y209">
            <v>0</v>
          </cell>
          <cell r="AF209" t="str">
            <v>Satui</v>
          </cell>
        </row>
        <row r="210">
          <cell r="F210" t="str">
            <v>Industri Lainnya</v>
          </cell>
          <cell r="H210" t="str">
            <v>BUANA KARYA BHAKTI</v>
          </cell>
          <cell r="T210">
            <v>0</v>
          </cell>
          <cell r="W210">
            <v>1</v>
          </cell>
          <cell r="X210">
            <v>0</v>
          </cell>
          <cell r="Y210">
            <v>0</v>
          </cell>
          <cell r="AF210" t="str">
            <v>Satui</v>
          </cell>
        </row>
        <row r="211">
          <cell r="F211" t="str">
            <v>Industri Makanan</v>
          </cell>
          <cell r="H211" t="str">
            <v>BUANA KARYA BHAKTI</v>
          </cell>
          <cell r="T211">
            <v>0</v>
          </cell>
          <cell r="W211">
            <v>1</v>
          </cell>
          <cell r="X211">
            <v>0</v>
          </cell>
          <cell r="Y211">
            <v>0</v>
          </cell>
          <cell r="AF211" t="str">
            <v>Satui</v>
          </cell>
        </row>
        <row r="212">
          <cell r="F212" t="str">
            <v>Perdagangan dan Reparasi</v>
          </cell>
          <cell r="H212" t="str">
            <v>BUANA KARYA NOVELTINDO</v>
          </cell>
          <cell r="T212">
            <v>0</v>
          </cell>
          <cell r="W212">
            <v>1</v>
          </cell>
          <cell r="X212">
            <v>0</v>
          </cell>
          <cell r="Y212">
            <v>0</v>
          </cell>
          <cell r="AF212" t="str">
            <v>Satui</v>
          </cell>
        </row>
        <row r="213">
          <cell r="F213" t="str">
            <v>Industri Makanan</v>
          </cell>
          <cell r="H213" t="str">
            <v>BUANA KARYA NOVELTINDO</v>
          </cell>
          <cell r="T213">
            <v>0</v>
          </cell>
          <cell r="W213">
            <v>1</v>
          </cell>
          <cell r="X213">
            <v>0</v>
          </cell>
          <cell r="Y213">
            <v>0</v>
          </cell>
          <cell r="AF213" t="str">
            <v>Satui</v>
          </cell>
        </row>
        <row r="214">
          <cell r="F214" t="str">
            <v>Pertambangan</v>
          </cell>
          <cell r="H214" t="str">
            <v>CAKRAWALA LANGIT SEJAHTERA</v>
          </cell>
          <cell r="T214">
            <v>1001103925</v>
          </cell>
          <cell r="W214">
            <v>1</v>
          </cell>
          <cell r="X214">
            <v>0</v>
          </cell>
          <cell r="Y214">
            <v>0</v>
          </cell>
          <cell r="AF214" t="str">
            <v>Satui</v>
          </cell>
        </row>
        <row r="215">
          <cell r="F215" t="str">
            <v>Pertambangan</v>
          </cell>
          <cell r="H215" t="str">
            <v>DARMA HENWA</v>
          </cell>
          <cell r="T215">
            <v>0</v>
          </cell>
          <cell r="W215">
            <v>1</v>
          </cell>
          <cell r="X215">
            <v>0</v>
          </cell>
          <cell r="Y215">
            <v>0</v>
          </cell>
          <cell r="AF215" t="str">
            <v>Satui</v>
          </cell>
        </row>
        <row r="216">
          <cell r="F216" t="str">
            <v>Pertambangan</v>
          </cell>
          <cell r="H216" t="str">
            <v>DARMA HENWA</v>
          </cell>
          <cell r="T216">
            <v>268124113304</v>
          </cell>
          <cell r="W216">
            <v>1</v>
          </cell>
          <cell r="X216">
            <v>0</v>
          </cell>
          <cell r="Y216">
            <v>0</v>
          </cell>
          <cell r="AF216" t="str">
            <v>Satui</v>
          </cell>
        </row>
        <row r="217">
          <cell r="F217" t="str">
            <v>Jasa Lainnya</v>
          </cell>
          <cell r="H217" t="str">
            <v>DELTA GARDA PERSADA</v>
          </cell>
          <cell r="T217">
            <v>0</v>
          </cell>
          <cell r="W217">
            <v>1</v>
          </cell>
          <cell r="X217">
            <v>0</v>
          </cell>
          <cell r="Y217">
            <v>0</v>
          </cell>
          <cell r="AF217" t="str">
            <v>Satui</v>
          </cell>
        </row>
        <row r="218">
          <cell r="F218" t="str">
            <v>Transportasi, Gudang dan Telekomunikasi</v>
          </cell>
          <cell r="H218" t="str">
            <v>DIANTA DAYA EMBARA</v>
          </cell>
          <cell r="T218">
            <v>78106730</v>
          </cell>
          <cell r="W218">
            <v>1</v>
          </cell>
          <cell r="X218">
            <v>0</v>
          </cell>
          <cell r="Y218">
            <v>0</v>
          </cell>
          <cell r="AF218" t="str">
            <v>Satui</v>
          </cell>
        </row>
        <row r="219">
          <cell r="F219" t="str">
            <v>Tanaman Pangan, Perkebunan, dan Peternakan</v>
          </cell>
          <cell r="H219" t="str">
            <v>FASS FOREST DEVELOPMENT</v>
          </cell>
          <cell r="T219">
            <v>12337846042</v>
          </cell>
          <cell r="W219">
            <v>1</v>
          </cell>
          <cell r="X219">
            <v>0</v>
          </cell>
          <cell r="Y219">
            <v>0</v>
          </cell>
          <cell r="AF219" t="str">
            <v>Satui</v>
          </cell>
        </row>
        <row r="220">
          <cell r="F220" t="str">
            <v>Industri Makanan</v>
          </cell>
          <cell r="H220" t="str">
            <v>GAWI MAKMUR KALIMANTAN</v>
          </cell>
          <cell r="T220">
            <v>387080405000</v>
          </cell>
          <cell r="W220">
            <v>1</v>
          </cell>
          <cell r="X220">
            <v>0</v>
          </cell>
          <cell r="Y220">
            <v>0</v>
          </cell>
          <cell r="AF220" t="str">
            <v>Satui</v>
          </cell>
        </row>
        <row r="221">
          <cell r="F221" t="str">
            <v>Perdagangan dan Reparasi</v>
          </cell>
          <cell r="H221" t="str">
            <v>INDOMARCO PRISMATAMA</v>
          </cell>
          <cell r="T221">
            <v>10276950</v>
          </cell>
          <cell r="W221">
            <v>1</v>
          </cell>
          <cell r="X221">
            <v>0</v>
          </cell>
          <cell r="Y221">
            <v>0</v>
          </cell>
          <cell r="AF221" t="str">
            <v>Satui</v>
          </cell>
        </row>
        <row r="222">
          <cell r="F222" t="str">
            <v>Perdagangan dan Reparasi</v>
          </cell>
          <cell r="H222" t="str">
            <v>INDOMARCO PRISMATAMA</v>
          </cell>
          <cell r="T222">
            <v>0</v>
          </cell>
          <cell r="W222">
            <v>1</v>
          </cell>
          <cell r="X222">
            <v>0</v>
          </cell>
          <cell r="Y222">
            <v>0</v>
          </cell>
          <cell r="AF222" t="str">
            <v>Satui</v>
          </cell>
        </row>
        <row r="223">
          <cell r="F223" t="str">
            <v>Pertambangan</v>
          </cell>
          <cell r="H223" t="str">
            <v>MITRAJAYA ABADI BERSAMA</v>
          </cell>
          <cell r="T223">
            <v>20794952000</v>
          </cell>
          <cell r="W223">
            <v>1</v>
          </cell>
          <cell r="X223">
            <v>0</v>
          </cell>
          <cell r="Y223">
            <v>0</v>
          </cell>
          <cell r="AF223" t="str">
            <v>Satui</v>
          </cell>
        </row>
        <row r="224">
          <cell r="F224" t="str">
            <v>Jasa Lainnya</v>
          </cell>
          <cell r="H224" t="str">
            <v>NAWAKARA PERKASA NUSANTARA</v>
          </cell>
          <cell r="T224">
            <v>0</v>
          </cell>
          <cell r="W224">
            <v>1</v>
          </cell>
          <cell r="X224">
            <v>0</v>
          </cell>
          <cell r="Y224">
            <v>0</v>
          </cell>
          <cell r="AF224" t="str">
            <v>Satui</v>
          </cell>
        </row>
        <row r="225">
          <cell r="F225" t="str">
            <v>Jasa Lainnya</v>
          </cell>
          <cell r="H225" t="str">
            <v>NAWAKARA PERKASA NUSANTARA</v>
          </cell>
          <cell r="T225">
            <v>0</v>
          </cell>
          <cell r="W225">
            <v>1</v>
          </cell>
          <cell r="X225">
            <v>0</v>
          </cell>
          <cell r="Y225">
            <v>0</v>
          </cell>
          <cell r="AF225" t="str">
            <v>Satui</v>
          </cell>
        </row>
        <row r="226">
          <cell r="F226" t="str">
            <v>Perumahan, Kawasan Industri dan Perkantoran</v>
          </cell>
          <cell r="H226" t="str">
            <v>PELAYARAN BAHTERA ADHIGUNA</v>
          </cell>
          <cell r="T226">
            <v>0</v>
          </cell>
          <cell r="W226">
            <v>1</v>
          </cell>
          <cell r="X226">
            <v>0</v>
          </cell>
          <cell r="Y226">
            <v>0</v>
          </cell>
          <cell r="AF226" t="str">
            <v>Satui</v>
          </cell>
        </row>
        <row r="227">
          <cell r="F227" t="str">
            <v>Tanaman Pangan, Perkebunan, dan Peternakan</v>
          </cell>
          <cell r="H227" t="str">
            <v>PERKEBUNAN NUSANTARA IV</v>
          </cell>
          <cell r="T227">
            <v>0</v>
          </cell>
          <cell r="W227">
            <v>1</v>
          </cell>
          <cell r="X227">
            <v>0</v>
          </cell>
          <cell r="Y227">
            <v>0</v>
          </cell>
          <cell r="AF227" t="str">
            <v>Satui</v>
          </cell>
        </row>
        <row r="228">
          <cell r="F228" t="str">
            <v>Konstruksi</v>
          </cell>
          <cell r="H228" t="str">
            <v>PROFESIONAL TELEKOMUNIKASI INDONESIA</v>
          </cell>
          <cell r="T228">
            <v>0</v>
          </cell>
          <cell r="W228">
            <v>1</v>
          </cell>
          <cell r="X228">
            <v>0</v>
          </cell>
          <cell r="Y228">
            <v>0</v>
          </cell>
          <cell r="AF228" t="str">
            <v>Satui</v>
          </cell>
        </row>
        <row r="229">
          <cell r="F229" t="str">
            <v>Konstruksi</v>
          </cell>
          <cell r="H229" t="str">
            <v>PROFESIONAL TELEKOMUNIKASI INDONESIA</v>
          </cell>
          <cell r="T229">
            <v>0</v>
          </cell>
          <cell r="W229">
            <v>1</v>
          </cell>
          <cell r="X229">
            <v>0</v>
          </cell>
          <cell r="Y229">
            <v>0</v>
          </cell>
          <cell r="AF229" t="str">
            <v>Satui</v>
          </cell>
        </row>
        <row r="230">
          <cell r="F230" t="str">
            <v>Konstruksi</v>
          </cell>
          <cell r="H230" t="str">
            <v>PROFESIONAL TELEKOMUNIKASI INDONESIA</v>
          </cell>
          <cell r="T230">
            <v>0</v>
          </cell>
          <cell r="W230">
            <v>1</v>
          </cell>
          <cell r="X230">
            <v>0</v>
          </cell>
          <cell r="Y230">
            <v>0</v>
          </cell>
          <cell r="AF230" t="str">
            <v>Satui</v>
          </cell>
        </row>
        <row r="231">
          <cell r="F231" t="str">
            <v>Pertambangan</v>
          </cell>
          <cell r="H231" t="str">
            <v>SATUI BINA USAHA</v>
          </cell>
          <cell r="T231">
            <v>4636402680</v>
          </cell>
          <cell r="W231">
            <v>1</v>
          </cell>
          <cell r="X231">
            <v>0</v>
          </cell>
          <cell r="Y231">
            <v>0</v>
          </cell>
          <cell r="AF231" t="str">
            <v>Satui</v>
          </cell>
        </row>
        <row r="232">
          <cell r="F232" t="str">
            <v>Pertambangan</v>
          </cell>
          <cell r="H232" t="str">
            <v>SATUI BINA USAHA</v>
          </cell>
          <cell r="T232">
            <v>3</v>
          </cell>
          <cell r="W232">
            <v>1</v>
          </cell>
          <cell r="X232">
            <v>0</v>
          </cell>
          <cell r="Y232">
            <v>0</v>
          </cell>
          <cell r="AF232" t="str">
            <v>Satui</v>
          </cell>
        </row>
        <row r="233">
          <cell r="F233" t="str">
            <v>Industri Kimia Dan Farmasi</v>
          </cell>
          <cell r="H233" t="str">
            <v>SATUI BINA USAHA</v>
          </cell>
          <cell r="T233">
            <v>3</v>
          </cell>
          <cell r="W233">
            <v>1</v>
          </cell>
          <cell r="X233">
            <v>0</v>
          </cell>
          <cell r="Y233">
            <v>0</v>
          </cell>
          <cell r="AF233" t="str">
            <v>Satui</v>
          </cell>
        </row>
        <row r="234">
          <cell r="F234" t="str">
            <v>Industri Kimia Dan Farmasi</v>
          </cell>
          <cell r="H234" t="str">
            <v>SATUI BINA USAHA</v>
          </cell>
          <cell r="T234">
            <v>3</v>
          </cell>
          <cell r="W234">
            <v>1</v>
          </cell>
          <cell r="X234">
            <v>0</v>
          </cell>
          <cell r="Y234">
            <v>0</v>
          </cell>
          <cell r="AF234" t="str">
            <v>Satui</v>
          </cell>
        </row>
        <row r="235">
          <cell r="F235" t="str">
            <v>Pertambangan</v>
          </cell>
          <cell r="H235" t="str">
            <v>SILIKA MITRA PERKASA</v>
          </cell>
          <cell r="T235">
            <v>402083334</v>
          </cell>
          <cell r="W235">
            <v>1</v>
          </cell>
          <cell r="X235">
            <v>0</v>
          </cell>
          <cell r="Y235">
            <v>0</v>
          </cell>
          <cell r="AF235" t="str">
            <v>Satui</v>
          </cell>
        </row>
        <row r="236">
          <cell r="F236" t="str">
            <v>Konstruksi</v>
          </cell>
          <cell r="H236" t="str">
            <v>SOLUSI TUNAS PRATAMA</v>
          </cell>
          <cell r="T236">
            <v>0</v>
          </cell>
          <cell r="W236">
            <v>1</v>
          </cell>
          <cell r="X236">
            <v>0</v>
          </cell>
          <cell r="Y236">
            <v>0</v>
          </cell>
          <cell r="AF236" t="str">
            <v>Satui</v>
          </cell>
        </row>
        <row r="237">
          <cell r="F237" t="str">
            <v>Perdagangan dan Reparasi</v>
          </cell>
          <cell r="H237" t="str">
            <v>SUMBER BERLIAN MOTORS</v>
          </cell>
          <cell r="T237">
            <v>714082446</v>
          </cell>
          <cell r="W237">
            <v>1</v>
          </cell>
          <cell r="X237">
            <v>0</v>
          </cell>
          <cell r="Y237">
            <v>0</v>
          </cell>
          <cell r="AF237" t="str">
            <v>Satui</v>
          </cell>
        </row>
        <row r="238">
          <cell r="F238" t="str">
            <v>Perdagangan dan Reparasi</v>
          </cell>
          <cell r="H238" t="str">
            <v>SUMBER BERLIAN MOTORS</v>
          </cell>
          <cell r="T238">
            <v>713032446</v>
          </cell>
          <cell r="W238">
            <v>1</v>
          </cell>
          <cell r="X238">
            <v>0</v>
          </cell>
          <cell r="Y238">
            <v>0</v>
          </cell>
          <cell r="AF238" t="str">
            <v>Satui</v>
          </cell>
        </row>
        <row r="239">
          <cell r="F239" t="str">
            <v>Perdagangan dan Reparasi</v>
          </cell>
          <cell r="H239" t="str">
            <v>SUMBER BERLIAN MOTORS</v>
          </cell>
          <cell r="T239">
            <v>1660310504</v>
          </cell>
          <cell r="W239">
            <v>1</v>
          </cell>
          <cell r="X239">
            <v>0</v>
          </cell>
          <cell r="Y239">
            <v>0</v>
          </cell>
          <cell r="AF239" t="str">
            <v>Satui</v>
          </cell>
        </row>
        <row r="240">
          <cell r="F240" t="str">
            <v>Pertambangan</v>
          </cell>
          <cell r="H240" t="str">
            <v>TANAH BUMBU RESOURCES</v>
          </cell>
          <cell r="T240">
            <v>571116503552</v>
          </cell>
          <cell r="W240">
            <v>1</v>
          </cell>
          <cell r="X240">
            <v>38</v>
          </cell>
          <cell r="Y240">
            <v>0</v>
          </cell>
          <cell r="AF240" t="str">
            <v>Satui</v>
          </cell>
        </row>
        <row r="241">
          <cell r="F241" t="str">
            <v>Perdagangan dan Reparasi</v>
          </cell>
          <cell r="H241" t="str">
            <v>UNITED TRACTORS</v>
          </cell>
          <cell r="T241">
            <v>4253591890</v>
          </cell>
          <cell r="W241">
            <v>1</v>
          </cell>
          <cell r="X241">
            <v>0</v>
          </cell>
          <cell r="Y241">
            <v>0</v>
          </cell>
          <cell r="AF241" t="str">
            <v>Satui</v>
          </cell>
        </row>
        <row r="242">
          <cell r="F242" t="str">
            <v>Perdagangan dan Reparasi</v>
          </cell>
          <cell r="H242" t="str">
            <v>UNITED TRACTORS</v>
          </cell>
          <cell r="T242">
            <v>2228838940</v>
          </cell>
          <cell r="W242">
            <v>1</v>
          </cell>
          <cell r="X242">
            <v>0</v>
          </cell>
          <cell r="Y242">
            <v>0</v>
          </cell>
          <cell r="AF242" t="str">
            <v>Satui</v>
          </cell>
        </row>
        <row r="243">
          <cell r="F243" t="str">
            <v>Perdagangan dan Reparasi</v>
          </cell>
          <cell r="H243" t="str">
            <v>UNITED TRACTORS</v>
          </cell>
          <cell r="T243">
            <v>0</v>
          </cell>
          <cell r="W243">
            <v>1</v>
          </cell>
          <cell r="X243">
            <v>0</v>
          </cell>
          <cell r="Y243">
            <v>0</v>
          </cell>
          <cell r="AF243" t="str">
            <v>Satui</v>
          </cell>
        </row>
        <row r="244">
          <cell r="F244" t="str">
            <v>Jasa Lainnya</v>
          </cell>
          <cell r="H244" t="str">
            <v>UNITED TRACTORS</v>
          </cell>
          <cell r="T244">
            <v>0</v>
          </cell>
          <cell r="W244">
            <v>1</v>
          </cell>
          <cell r="X244">
            <v>0</v>
          </cell>
          <cell r="Y244">
            <v>0</v>
          </cell>
          <cell r="AF244" t="str">
            <v>Satui</v>
          </cell>
        </row>
        <row r="245">
          <cell r="F245" t="str">
            <v>Jasa Lainnya</v>
          </cell>
          <cell r="H245" t="str">
            <v>UNITED TRACTORS</v>
          </cell>
          <cell r="T245">
            <v>0</v>
          </cell>
          <cell r="W245">
            <v>1</v>
          </cell>
          <cell r="X245">
            <v>0</v>
          </cell>
          <cell r="Y245">
            <v>0</v>
          </cell>
          <cell r="AF245" t="str">
            <v>Satui</v>
          </cell>
        </row>
        <row r="246">
          <cell r="F246" t="str">
            <v>Perumahan, Kawasan Industri dan Perkantoran</v>
          </cell>
          <cell r="H246" t="str">
            <v>UNITED TRACTORS</v>
          </cell>
          <cell r="T246">
            <v>0</v>
          </cell>
          <cell r="W246">
            <v>1</v>
          </cell>
          <cell r="X246">
            <v>0</v>
          </cell>
          <cell r="Y246">
            <v>0</v>
          </cell>
          <cell r="AF246" t="str">
            <v>Satui</v>
          </cell>
        </row>
        <row r="247">
          <cell r="F247" t="str">
            <v>Konstruksi</v>
          </cell>
          <cell r="H247" t="str">
            <v>UNITED TRACTORS</v>
          </cell>
          <cell r="T247">
            <v>0</v>
          </cell>
          <cell r="W247">
            <v>1</v>
          </cell>
          <cell r="X247">
            <v>0</v>
          </cell>
          <cell r="Y247">
            <v>0</v>
          </cell>
          <cell r="AF247" t="str">
            <v>Satui</v>
          </cell>
        </row>
        <row r="248">
          <cell r="F248" t="str">
            <v>Perdagangan dan Reparasi</v>
          </cell>
          <cell r="H248" t="str">
            <v>UNITED TRACTORS</v>
          </cell>
          <cell r="T248">
            <v>0</v>
          </cell>
          <cell r="W248">
            <v>1</v>
          </cell>
          <cell r="X248">
            <v>0</v>
          </cell>
          <cell r="Y248">
            <v>0</v>
          </cell>
          <cell r="AF248" t="str">
            <v>Satui</v>
          </cell>
        </row>
        <row r="249">
          <cell r="F249" t="str">
            <v>Jasa Lainnya</v>
          </cell>
          <cell r="H249" t="str">
            <v>UNITED TRACTORS</v>
          </cell>
          <cell r="T249">
            <v>0</v>
          </cell>
          <cell r="W249">
            <v>1</v>
          </cell>
          <cell r="X249">
            <v>0</v>
          </cell>
          <cell r="Y249">
            <v>0</v>
          </cell>
          <cell r="AF249" t="str">
            <v>Satui</v>
          </cell>
        </row>
        <row r="250">
          <cell r="F250" t="str">
            <v>Jasa Lainnya</v>
          </cell>
          <cell r="H250" t="str">
            <v>UNITED TRACTORS</v>
          </cell>
          <cell r="T250">
            <v>0</v>
          </cell>
          <cell r="W250">
            <v>1</v>
          </cell>
          <cell r="X250">
            <v>0</v>
          </cell>
          <cell r="Y250">
            <v>0</v>
          </cell>
          <cell r="AF250" t="str">
            <v>Satui</v>
          </cell>
        </row>
        <row r="251">
          <cell r="F251" t="str">
            <v>Perdagangan dan Reparasi</v>
          </cell>
          <cell r="H251" t="str">
            <v>UNITED TRACTORS</v>
          </cell>
          <cell r="T251">
            <v>0</v>
          </cell>
          <cell r="W251">
            <v>1</v>
          </cell>
          <cell r="X251">
            <v>0</v>
          </cell>
          <cell r="Y251">
            <v>0</v>
          </cell>
          <cell r="AF251" t="str">
            <v>Satui</v>
          </cell>
        </row>
        <row r="252">
          <cell r="F252" t="str">
            <v>Jasa Lainnya</v>
          </cell>
          <cell r="H252" t="str">
            <v>UNITED TRACTORS</v>
          </cell>
          <cell r="T252">
            <v>0</v>
          </cell>
          <cell r="W252">
            <v>1</v>
          </cell>
          <cell r="X252">
            <v>0</v>
          </cell>
          <cell r="Y252">
            <v>0</v>
          </cell>
          <cell r="AF252" t="str">
            <v>Satui</v>
          </cell>
        </row>
        <row r="253">
          <cell r="F253" t="str">
            <v>Jasa Lainnya</v>
          </cell>
          <cell r="H253" t="str">
            <v>UNITED TRACTORS</v>
          </cell>
          <cell r="T253">
            <v>0</v>
          </cell>
          <cell r="W253">
            <v>1</v>
          </cell>
          <cell r="X253">
            <v>0</v>
          </cell>
          <cell r="Y253">
            <v>0</v>
          </cell>
          <cell r="AF253" t="str">
            <v>Satui</v>
          </cell>
        </row>
        <row r="254">
          <cell r="F254" t="str">
            <v>Perdagangan dan Reparasi</v>
          </cell>
          <cell r="H254" t="str">
            <v>UNITED TRACTORS</v>
          </cell>
          <cell r="T254">
            <v>0</v>
          </cell>
          <cell r="W254">
            <v>1</v>
          </cell>
          <cell r="X254">
            <v>0</v>
          </cell>
          <cell r="Y254">
            <v>0</v>
          </cell>
          <cell r="AF254" t="str">
            <v>Satui</v>
          </cell>
        </row>
        <row r="255">
          <cell r="F255" t="str">
            <v>Perdagangan dan Reparasi</v>
          </cell>
          <cell r="H255" t="str">
            <v>UNITED TRACTORS</v>
          </cell>
          <cell r="T255">
            <v>0</v>
          </cell>
          <cell r="W255">
            <v>1</v>
          </cell>
          <cell r="X255">
            <v>0</v>
          </cell>
          <cell r="Y255">
            <v>0</v>
          </cell>
          <cell r="AF255" t="str">
            <v>Satui</v>
          </cell>
        </row>
        <row r="256">
          <cell r="F256" t="str">
            <v>Pertambangan</v>
          </cell>
          <cell r="H256" t="str">
            <v>USAHA BARATAMA JESINDO</v>
          </cell>
          <cell r="T256">
            <v>9500000000</v>
          </cell>
          <cell r="W256">
            <v>1</v>
          </cell>
          <cell r="X256">
            <v>0</v>
          </cell>
          <cell r="Y256">
            <v>0</v>
          </cell>
          <cell r="AF256" t="str">
            <v>Satui</v>
          </cell>
        </row>
        <row r="257">
          <cell r="F257" t="str">
            <v>Pertambangan</v>
          </cell>
          <cell r="H257" t="str">
            <v>WAHANA BARATAMA MINING</v>
          </cell>
          <cell r="T257">
            <v>859616628838</v>
          </cell>
          <cell r="W257">
            <v>1</v>
          </cell>
          <cell r="X257">
            <v>0</v>
          </cell>
          <cell r="Y257">
            <v>0</v>
          </cell>
          <cell r="AF257" t="str">
            <v>Satui</v>
          </cell>
        </row>
        <row r="258">
          <cell r="F258" t="str">
            <v>Konstruksi</v>
          </cell>
          <cell r="H258" t="str">
            <v>PROFESIONAL TELEKOMUNIKASI INDONESIA</v>
          </cell>
          <cell r="T258">
            <v>0</v>
          </cell>
          <cell r="W258">
            <v>1</v>
          </cell>
          <cell r="X258">
            <v>0</v>
          </cell>
          <cell r="Y258">
            <v>0</v>
          </cell>
          <cell r="AF258" t="str">
            <v xml:space="preserve">Satui </v>
          </cell>
        </row>
        <row r="259">
          <cell r="F259" t="str">
            <v>Pertambangan</v>
          </cell>
          <cell r="H259" t="str">
            <v>ADIDAYA AKBAR BERKARYA</v>
          </cell>
          <cell r="T259">
            <v>11199637341</v>
          </cell>
          <cell r="W259">
            <v>1</v>
          </cell>
          <cell r="X259">
            <v>2</v>
          </cell>
          <cell r="Y259">
            <v>0</v>
          </cell>
          <cell r="AF259" t="str">
            <v>Simpang Empat</v>
          </cell>
        </row>
        <row r="260">
          <cell r="F260" t="str">
            <v>Perdagangan dan Reparasi</v>
          </cell>
          <cell r="H260" t="str">
            <v>ADIDAYA AKBAR BERKARYA</v>
          </cell>
          <cell r="T260">
            <v>0</v>
          </cell>
          <cell r="W260">
            <v>1</v>
          </cell>
          <cell r="X260">
            <v>0</v>
          </cell>
          <cell r="Y260">
            <v>0</v>
          </cell>
          <cell r="AF260" t="str">
            <v>Simpang Empat</v>
          </cell>
        </row>
        <row r="261">
          <cell r="F261" t="str">
            <v>Konstruksi</v>
          </cell>
          <cell r="H261" t="str">
            <v>ANDIFA NUSA SAMUDERA</v>
          </cell>
          <cell r="T261">
            <v>0</v>
          </cell>
          <cell r="W261">
            <v>1</v>
          </cell>
          <cell r="X261">
            <v>0</v>
          </cell>
          <cell r="Y261">
            <v>0</v>
          </cell>
          <cell r="AF261" t="str">
            <v>Simpang Empat</v>
          </cell>
        </row>
        <row r="262">
          <cell r="F262" t="str">
            <v>Transportasi, Gudang dan Telekomunikasi</v>
          </cell>
          <cell r="H262" t="str">
            <v>ANDIFA NUSA SAMUDERA</v>
          </cell>
          <cell r="T262">
            <v>0</v>
          </cell>
          <cell r="W262">
            <v>1</v>
          </cell>
          <cell r="X262">
            <v>0</v>
          </cell>
          <cell r="Y262">
            <v>0</v>
          </cell>
          <cell r="AF262" t="str">
            <v>Simpang Empat</v>
          </cell>
        </row>
        <row r="263">
          <cell r="F263" t="str">
            <v>Konstruksi</v>
          </cell>
          <cell r="H263" t="str">
            <v>ANDIFA NUSA SAMUDERA</v>
          </cell>
          <cell r="T263">
            <v>0</v>
          </cell>
          <cell r="W263">
            <v>1</v>
          </cell>
          <cell r="X263">
            <v>0</v>
          </cell>
          <cell r="Y263">
            <v>0</v>
          </cell>
          <cell r="AF263" t="str">
            <v>Simpang Empat</v>
          </cell>
        </row>
        <row r="264">
          <cell r="F264" t="str">
            <v>Transportasi, Gudang dan Telekomunikasi</v>
          </cell>
          <cell r="H264" t="str">
            <v>ANDIFA NUSA SAMUDERA</v>
          </cell>
          <cell r="T264">
            <v>0</v>
          </cell>
          <cell r="W264">
            <v>1</v>
          </cell>
          <cell r="X264">
            <v>0</v>
          </cell>
          <cell r="Y264">
            <v>0</v>
          </cell>
          <cell r="AF264" t="str">
            <v>Simpang Empat</v>
          </cell>
        </row>
        <row r="265">
          <cell r="F265" t="str">
            <v>Konstruksi</v>
          </cell>
          <cell r="H265" t="str">
            <v>ANDIFA NUSA SAMUDERA</v>
          </cell>
          <cell r="T265">
            <v>4650000000</v>
          </cell>
          <cell r="W265">
            <v>1</v>
          </cell>
          <cell r="X265">
            <v>0</v>
          </cell>
          <cell r="Y265">
            <v>0</v>
          </cell>
          <cell r="AF265" t="str">
            <v>Simpang Empat</v>
          </cell>
        </row>
        <row r="266">
          <cell r="F266" t="str">
            <v>Perdagangan dan Reparasi</v>
          </cell>
          <cell r="H266" t="str">
            <v>ANDIFA PERKASA ENERGI</v>
          </cell>
          <cell r="T266">
            <v>16809133800</v>
          </cell>
          <cell r="W266">
            <v>1</v>
          </cell>
          <cell r="X266">
            <v>2</v>
          </cell>
          <cell r="Y266">
            <v>0</v>
          </cell>
          <cell r="AF266" t="str">
            <v>Simpang Empat</v>
          </cell>
        </row>
        <row r="267">
          <cell r="F267" t="str">
            <v>Perdagangan dan Reparasi</v>
          </cell>
          <cell r="H267" t="str">
            <v>ANDIFA PERKASA ENERGI</v>
          </cell>
          <cell r="T267">
            <v>0</v>
          </cell>
          <cell r="W267">
            <v>1</v>
          </cell>
          <cell r="X267">
            <v>0</v>
          </cell>
          <cell r="Y267">
            <v>0</v>
          </cell>
          <cell r="AF267" t="str">
            <v>Simpang Empat</v>
          </cell>
        </row>
        <row r="268">
          <cell r="F268" t="str">
            <v>Perdagangan dan Reparasi</v>
          </cell>
          <cell r="H268" t="str">
            <v>ANDIFA PERKASA ENERGI</v>
          </cell>
          <cell r="T268">
            <v>0</v>
          </cell>
          <cell r="W268">
            <v>1</v>
          </cell>
          <cell r="X268">
            <v>0</v>
          </cell>
          <cell r="Y268">
            <v>0</v>
          </cell>
          <cell r="AF268" t="str">
            <v>Simpang Empat</v>
          </cell>
        </row>
        <row r="269">
          <cell r="F269" t="str">
            <v>Perdagangan dan Reparasi</v>
          </cell>
          <cell r="H269" t="str">
            <v>ANDIFA PERKASA ENERGI</v>
          </cell>
          <cell r="T269">
            <v>0</v>
          </cell>
          <cell r="W269">
            <v>1</v>
          </cell>
          <cell r="X269">
            <v>0</v>
          </cell>
          <cell r="Y269">
            <v>0</v>
          </cell>
          <cell r="AF269" t="str">
            <v>Simpang Empat</v>
          </cell>
        </row>
        <row r="270">
          <cell r="F270" t="str">
            <v>Perdagangan dan Reparasi</v>
          </cell>
          <cell r="H270" t="str">
            <v>ANDIFA ZAYEEN PERKASA</v>
          </cell>
          <cell r="T270">
            <v>6901241500</v>
          </cell>
          <cell r="W270">
            <v>1</v>
          </cell>
          <cell r="X270">
            <v>2</v>
          </cell>
          <cell r="Y270">
            <v>0</v>
          </cell>
          <cell r="AF270" t="str">
            <v>Simpang Empat</v>
          </cell>
        </row>
        <row r="271">
          <cell r="F271" t="str">
            <v>Industri Logam Dasar, Barang Logam, Bukan Mesin dan Peralatannya</v>
          </cell>
          <cell r="H271" t="str">
            <v>ANGKASA JAYA MULIA</v>
          </cell>
          <cell r="T271">
            <v>102245133</v>
          </cell>
          <cell r="W271">
            <v>1</v>
          </cell>
          <cell r="X271">
            <v>0</v>
          </cell>
          <cell r="Y271">
            <v>0</v>
          </cell>
          <cell r="AF271" t="str">
            <v>Simpang Empat</v>
          </cell>
        </row>
        <row r="272">
          <cell r="F272" t="str">
            <v>Jasa Lainnya</v>
          </cell>
          <cell r="H272" t="str">
            <v>ANINDYA WIRAPUTRA KONSULT</v>
          </cell>
          <cell r="T272">
            <v>500807667</v>
          </cell>
          <cell r="W272">
            <v>1</v>
          </cell>
          <cell r="X272">
            <v>0</v>
          </cell>
          <cell r="Y272">
            <v>0</v>
          </cell>
          <cell r="AF272" t="str">
            <v>Simpang Empat</v>
          </cell>
        </row>
        <row r="273">
          <cell r="F273" t="str">
            <v>Jasa Lainnya</v>
          </cell>
          <cell r="H273" t="str">
            <v>ANINDYA WIRAPUTRA KONSULT</v>
          </cell>
          <cell r="T273">
            <v>1956667</v>
          </cell>
          <cell r="W273">
            <v>1</v>
          </cell>
          <cell r="X273">
            <v>0</v>
          </cell>
          <cell r="Y273">
            <v>0</v>
          </cell>
          <cell r="AF273" t="str">
            <v>Simpang Empat</v>
          </cell>
        </row>
        <row r="274">
          <cell r="F274" t="str">
            <v>Jasa Lainnya</v>
          </cell>
          <cell r="H274" t="str">
            <v>ANINDYA WIRAPUTRA KONSULT</v>
          </cell>
          <cell r="T274">
            <v>1956667</v>
          </cell>
          <cell r="W274">
            <v>1</v>
          </cell>
          <cell r="X274">
            <v>0</v>
          </cell>
          <cell r="Y274">
            <v>0</v>
          </cell>
          <cell r="AF274" t="str">
            <v>Simpang Empat</v>
          </cell>
        </row>
        <row r="275">
          <cell r="F275" t="str">
            <v>Pertambangan</v>
          </cell>
          <cell r="H275" t="str">
            <v>ARUTMIN INDONESIA</v>
          </cell>
          <cell r="T275">
            <v>49969503141</v>
          </cell>
          <cell r="W275">
            <v>1</v>
          </cell>
          <cell r="X275">
            <v>0</v>
          </cell>
          <cell r="Y275">
            <v>0</v>
          </cell>
          <cell r="AF275" t="str">
            <v>Simpang Empat</v>
          </cell>
        </row>
        <row r="276">
          <cell r="F276" t="str">
            <v>Pertambangan</v>
          </cell>
          <cell r="H276" t="str">
            <v>ARUTMIN INDONESIA</v>
          </cell>
          <cell r="T276">
            <v>0</v>
          </cell>
          <cell r="W276">
            <v>1</v>
          </cell>
          <cell r="X276">
            <v>0</v>
          </cell>
          <cell r="Y276">
            <v>0</v>
          </cell>
          <cell r="AF276" t="str">
            <v>Simpang Empat</v>
          </cell>
        </row>
        <row r="277">
          <cell r="F277" t="str">
            <v>Pertambangan</v>
          </cell>
          <cell r="H277" t="str">
            <v>ARUTMIN INDONESIA</v>
          </cell>
          <cell r="T277">
            <v>0</v>
          </cell>
          <cell r="W277">
            <v>1</v>
          </cell>
          <cell r="X277">
            <v>0</v>
          </cell>
          <cell r="Y277">
            <v>0</v>
          </cell>
          <cell r="AF277" t="str">
            <v>Simpang Empat</v>
          </cell>
        </row>
        <row r="278">
          <cell r="F278" t="str">
            <v>Pertambangan</v>
          </cell>
          <cell r="H278" t="str">
            <v>ARUTMIN INDONESIA</v>
          </cell>
          <cell r="T278">
            <v>0</v>
          </cell>
          <cell r="W278">
            <v>1</v>
          </cell>
          <cell r="X278">
            <v>0</v>
          </cell>
          <cell r="Y278">
            <v>0</v>
          </cell>
          <cell r="AF278" t="str">
            <v>Simpang Empat</v>
          </cell>
        </row>
        <row r="279">
          <cell r="F279" t="str">
            <v>Pertambangan</v>
          </cell>
          <cell r="H279" t="str">
            <v>ARUTMIN INDONESIA</v>
          </cell>
          <cell r="T279">
            <v>0</v>
          </cell>
          <cell r="W279">
            <v>1</v>
          </cell>
          <cell r="X279">
            <v>0</v>
          </cell>
          <cell r="Y279">
            <v>0</v>
          </cell>
          <cell r="AF279" t="str">
            <v>Simpang Empat</v>
          </cell>
        </row>
        <row r="280">
          <cell r="F280" t="str">
            <v>Transportasi, Gudang dan Telekomunikasi</v>
          </cell>
          <cell r="H280" t="str">
            <v>ARUTMIN INDONESIA</v>
          </cell>
          <cell r="T280">
            <v>0</v>
          </cell>
          <cell r="W280">
            <v>1</v>
          </cell>
          <cell r="X280">
            <v>0</v>
          </cell>
          <cell r="Y280">
            <v>0</v>
          </cell>
          <cell r="AF280" t="str">
            <v>Simpang Empat</v>
          </cell>
        </row>
        <row r="281">
          <cell r="F281" t="str">
            <v>Transportasi, Gudang dan Telekomunikasi</v>
          </cell>
          <cell r="H281" t="str">
            <v>ARUTMIN INDONESIA</v>
          </cell>
          <cell r="T281">
            <v>0</v>
          </cell>
          <cell r="W281">
            <v>1</v>
          </cell>
          <cell r="X281">
            <v>0</v>
          </cell>
          <cell r="Y281">
            <v>0</v>
          </cell>
          <cell r="AF281" t="str">
            <v>Simpang Empat</v>
          </cell>
        </row>
        <row r="282">
          <cell r="F282" t="str">
            <v>Pertambangan</v>
          </cell>
          <cell r="H282" t="str">
            <v>ARUTMIN INDONESIA</v>
          </cell>
          <cell r="T282">
            <v>2713411838</v>
          </cell>
          <cell r="W282">
            <v>1</v>
          </cell>
          <cell r="X282">
            <v>0</v>
          </cell>
          <cell r="Y282">
            <v>0</v>
          </cell>
          <cell r="AF282" t="str">
            <v>Simpang Empat</v>
          </cell>
        </row>
        <row r="283">
          <cell r="F283" t="str">
            <v>Perdagangan dan Reparasi</v>
          </cell>
          <cell r="H283" t="str">
            <v>DAYA INDAH YASA</v>
          </cell>
          <cell r="T283">
            <v>95873637</v>
          </cell>
          <cell r="W283">
            <v>1</v>
          </cell>
          <cell r="X283">
            <v>0</v>
          </cell>
          <cell r="Y283">
            <v>0</v>
          </cell>
          <cell r="AF283" t="str">
            <v>Simpang Empat</v>
          </cell>
        </row>
        <row r="284">
          <cell r="F284" t="str">
            <v>Perdagangan dan Reparasi</v>
          </cell>
          <cell r="H284" t="str">
            <v>DAYA INDAH YASA</v>
          </cell>
          <cell r="T284">
            <v>9124816</v>
          </cell>
          <cell r="W284">
            <v>1</v>
          </cell>
          <cell r="X284">
            <v>0</v>
          </cell>
          <cell r="Y284">
            <v>0</v>
          </cell>
          <cell r="AF284" t="str">
            <v>Simpang Empat</v>
          </cell>
        </row>
        <row r="285">
          <cell r="F285" t="str">
            <v>Perdagangan dan Reparasi</v>
          </cell>
          <cell r="H285" t="str">
            <v>DAYA INDAH YASA</v>
          </cell>
          <cell r="T285">
            <v>2346756270</v>
          </cell>
          <cell r="W285">
            <v>1</v>
          </cell>
          <cell r="X285">
            <v>0</v>
          </cell>
          <cell r="Y285">
            <v>0</v>
          </cell>
          <cell r="AF285" t="str">
            <v>Simpang Empat</v>
          </cell>
        </row>
        <row r="286">
          <cell r="F286" t="str">
            <v>Perdagangan dan Reparasi</v>
          </cell>
          <cell r="H286" t="str">
            <v>DAYA INDAH YASA</v>
          </cell>
          <cell r="T286">
            <v>7087982</v>
          </cell>
          <cell r="W286">
            <v>1</v>
          </cell>
          <cell r="X286">
            <v>0</v>
          </cell>
          <cell r="Y286">
            <v>0</v>
          </cell>
          <cell r="AF286" t="str">
            <v>Simpang Empat</v>
          </cell>
        </row>
        <row r="287">
          <cell r="F287" t="str">
            <v>Perumahan, Kawasan Industri dan Perkantoran</v>
          </cell>
          <cell r="H287" t="str">
            <v>DUA SAMUDERA PERKASA</v>
          </cell>
          <cell r="T287">
            <v>47607999688</v>
          </cell>
          <cell r="W287">
            <v>1</v>
          </cell>
          <cell r="X287">
            <v>0</v>
          </cell>
          <cell r="Y287">
            <v>0</v>
          </cell>
          <cell r="AF287" t="str">
            <v>Simpang Empat</v>
          </cell>
        </row>
        <row r="288">
          <cell r="F288" t="str">
            <v>Listrik, Gas dan Air</v>
          </cell>
          <cell r="H288" t="str">
            <v>DUA SAMUDERA PERKASA</v>
          </cell>
          <cell r="T288">
            <v>8272727272</v>
          </cell>
          <cell r="W288">
            <v>1</v>
          </cell>
          <cell r="X288">
            <v>0</v>
          </cell>
          <cell r="Y288">
            <v>0</v>
          </cell>
          <cell r="AF288" t="str">
            <v>Simpang Empat</v>
          </cell>
        </row>
        <row r="289">
          <cell r="F289" t="str">
            <v>Transportasi, Gudang dan Telekomunikasi</v>
          </cell>
          <cell r="H289" t="str">
            <v>DUA SAMUDERA PERKASA</v>
          </cell>
          <cell r="T289">
            <v>37033478000</v>
          </cell>
          <cell r="W289">
            <v>1</v>
          </cell>
          <cell r="X289">
            <v>0</v>
          </cell>
          <cell r="Y289">
            <v>0</v>
          </cell>
          <cell r="AF289" t="str">
            <v>Simpang Empat</v>
          </cell>
        </row>
        <row r="290">
          <cell r="F290" t="str">
            <v>Hotel dan Restoran</v>
          </cell>
          <cell r="H290" t="str">
            <v>FAST FOOD INDONESIA</v>
          </cell>
          <cell r="T290">
            <v>276842667</v>
          </cell>
          <cell r="W290">
            <v>1</v>
          </cell>
          <cell r="X290">
            <v>0</v>
          </cell>
          <cell r="Y290">
            <v>0</v>
          </cell>
          <cell r="AF290" t="str">
            <v>Simpang Empat</v>
          </cell>
        </row>
        <row r="291">
          <cell r="F291" t="str">
            <v>Perdagangan dan Reparasi</v>
          </cell>
          <cell r="H291" t="str">
            <v>GARUDA WISNU AMERTA</v>
          </cell>
          <cell r="T291">
            <v>0</v>
          </cell>
          <cell r="W291">
            <v>1</v>
          </cell>
          <cell r="X291">
            <v>0</v>
          </cell>
          <cell r="Y291">
            <v>0</v>
          </cell>
          <cell r="AF291" t="str">
            <v>Simpang Empat</v>
          </cell>
        </row>
        <row r="292">
          <cell r="F292" t="str">
            <v>Perdagangan dan Reparasi</v>
          </cell>
          <cell r="H292" t="str">
            <v>GLOCHATSA TESALONIKA SENTOSA</v>
          </cell>
          <cell r="T292">
            <v>0</v>
          </cell>
          <cell r="W292">
            <v>1</v>
          </cell>
          <cell r="X292">
            <v>0</v>
          </cell>
          <cell r="Y292">
            <v>0</v>
          </cell>
          <cell r="AF292" t="str">
            <v>Simpang Empat</v>
          </cell>
        </row>
        <row r="293">
          <cell r="F293" t="str">
            <v>Perdagangan dan Reparasi</v>
          </cell>
          <cell r="H293" t="str">
            <v>GRAND DUTA BORNEO</v>
          </cell>
          <cell r="T293">
            <v>150750008</v>
          </cell>
          <cell r="W293">
            <v>1</v>
          </cell>
          <cell r="X293">
            <v>0</v>
          </cell>
          <cell r="Y293">
            <v>0</v>
          </cell>
          <cell r="AF293" t="str">
            <v>Simpang Empat</v>
          </cell>
        </row>
        <row r="294">
          <cell r="F294" t="str">
            <v>Perdagangan dan Reparasi</v>
          </cell>
          <cell r="H294" t="str">
            <v>GRAND DUTA BORNEO</v>
          </cell>
          <cell r="T294">
            <v>150740780</v>
          </cell>
          <cell r="W294">
            <v>1</v>
          </cell>
          <cell r="X294">
            <v>0</v>
          </cell>
          <cell r="Y294">
            <v>0</v>
          </cell>
          <cell r="AF294" t="str">
            <v>Simpang Empat</v>
          </cell>
        </row>
        <row r="295">
          <cell r="F295" t="str">
            <v>Pertambangan</v>
          </cell>
          <cell r="H295" t="str">
            <v>GUNUNG MAYANG STONE</v>
          </cell>
          <cell r="T295">
            <v>250000000</v>
          </cell>
          <cell r="W295">
            <v>1</v>
          </cell>
          <cell r="X295">
            <v>0</v>
          </cell>
          <cell r="Y295">
            <v>0</v>
          </cell>
          <cell r="AF295" t="str">
            <v>Simpang Empat</v>
          </cell>
        </row>
        <row r="296">
          <cell r="F296" t="str">
            <v>Pertambangan</v>
          </cell>
          <cell r="H296" t="str">
            <v>HALONG JAYA BERGETAR</v>
          </cell>
          <cell r="T296">
            <v>0</v>
          </cell>
          <cell r="W296">
            <v>1</v>
          </cell>
          <cell r="X296">
            <v>0</v>
          </cell>
          <cell r="Y296">
            <v>0</v>
          </cell>
          <cell r="AF296" t="str">
            <v>Simpang Empat</v>
          </cell>
        </row>
        <row r="297">
          <cell r="F297" t="str">
            <v>Tanaman Pangan, Perkebunan, dan Peternakan</v>
          </cell>
          <cell r="H297" t="str">
            <v>JHONLIN AGRO LESTARI</v>
          </cell>
          <cell r="T297">
            <v>76109708923</v>
          </cell>
          <cell r="W297">
            <v>1</v>
          </cell>
          <cell r="X297">
            <v>153</v>
          </cell>
          <cell r="Y297">
            <v>0</v>
          </cell>
          <cell r="AF297" t="str">
            <v>Simpang Empat</v>
          </cell>
        </row>
        <row r="298">
          <cell r="F298" t="str">
            <v>Industri Makanan</v>
          </cell>
          <cell r="H298" t="str">
            <v>JHONLIN AGRO RAYA Tbk</v>
          </cell>
          <cell r="T298">
            <v>324412665136</v>
          </cell>
          <cell r="W298">
            <v>1</v>
          </cell>
          <cell r="X298">
            <v>2</v>
          </cell>
          <cell r="Y298">
            <v>0</v>
          </cell>
          <cell r="AF298" t="str">
            <v>Simpang Empat</v>
          </cell>
        </row>
        <row r="299">
          <cell r="F299" t="str">
            <v>Pertambangan</v>
          </cell>
          <cell r="H299" t="str">
            <v>JHONLIN BARATAMA</v>
          </cell>
          <cell r="T299">
            <v>6946281374159</v>
          </cell>
          <cell r="W299">
            <v>1</v>
          </cell>
          <cell r="X299">
            <v>122</v>
          </cell>
          <cell r="Y299">
            <v>0</v>
          </cell>
          <cell r="AF299" t="str">
            <v>Simpang Empat</v>
          </cell>
        </row>
        <row r="300">
          <cell r="F300" t="str">
            <v>Transportasi, Gudang dan Telekomunikasi</v>
          </cell>
          <cell r="H300" t="str">
            <v>JHONLIN MARINE LINES</v>
          </cell>
          <cell r="T300">
            <v>28240595699</v>
          </cell>
          <cell r="W300">
            <v>1</v>
          </cell>
          <cell r="X300">
            <v>0</v>
          </cell>
          <cell r="Y300">
            <v>0</v>
          </cell>
          <cell r="AF300" t="str">
            <v>Simpang Empat</v>
          </cell>
        </row>
        <row r="301">
          <cell r="F301" t="str">
            <v>Transportasi, Gudang dan Telekomunikasi</v>
          </cell>
          <cell r="H301" t="str">
            <v>JHONLIN MARINE TRANS</v>
          </cell>
          <cell r="T301">
            <v>211799696739</v>
          </cell>
          <cell r="W301">
            <v>1</v>
          </cell>
          <cell r="X301">
            <v>76</v>
          </cell>
          <cell r="Y301">
            <v>0</v>
          </cell>
          <cell r="AF301" t="str">
            <v>Simpang Empat</v>
          </cell>
        </row>
        <row r="302">
          <cell r="F302" t="str">
            <v>Transportasi, Gudang dan Telekomunikasi</v>
          </cell>
          <cell r="H302" t="str">
            <v>JHONLIN MARINE TRANS</v>
          </cell>
          <cell r="T302">
            <v>0</v>
          </cell>
          <cell r="W302">
            <v>1</v>
          </cell>
          <cell r="X302">
            <v>0</v>
          </cell>
          <cell r="Y302">
            <v>0</v>
          </cell>
          <cell r="AF302" t="str">
            <v>Simpang Empat</v>
          </cell>
        </row>
        <row r="303">
          <cell r="F303" t="str">
            <v>Perdagangan dan Reparasi</v>
          </cell>
          <cell r="H303" t="str">
            <v>JHONLIN MARINE TRANS</v>
          </cell>
          <cell r="T303">
            <v>3160838880</v>
          </cell>
          <cell r="W303">
            <v>1</v>
          </cell>
          <cell r="X303">
            <v>0</v>
          </cell>
          <cell r="Y303">
            <v>0</v>
          </cell>
          <cell r="AF303" t="str">
            <v>Simpang Empat</v>
          </cell>
        </row>
        <row r="304">
          <cell r="F304" t="str">
            <v>Industri Kimia Dan Farmasi</v>
          </cell>
          <cell r="H304" t="str">
            <v>JOH SUKSES MANDIRI MOTOR</v>
          </cell>
          <cell r="T304">
            <v>1250000000</v>
          </cell>
          <cell r="W304">
            <v>1</v>
          </cell>
          <cell r="X304">
            <v>5</v>
          </cell>
          <cell r="Y304">
            <v>0</v>
          </cell>
          <cell r="AF304" t="str">
            <v>Simpang Empat</v>
          </cell>
        </row>
        <row r="305">
          <cell r="F305" t="str">
            <v>Pertambangan</v>
          </cell>
          <cell r="H305" t="str">
            <v>LINTAS FORTUNA NUSANTARA</v>
          </cell>
          <cell r="T305">
            <v>65929318532</v>
          </cell>
          <cell r="W305">
            <v>1</v>
          </cell>
          <cell r="X305">
            <v>122</v>
          </cell>
          <cell r="Y305">
            <v>0</v>
          </cell>
          <cell r="AF305" t="str">
            <v>Simpang Empat</v>
          </cell>
        </row>
        <row r="306">
          <cell r="F306" t="str">
            <v>Tanaman Pangan, Perkebunan, dan Peternakan</v>
          </cell>
          <cell r="H306" t="str">
            <v>MANDIRI AMAN SEJAHTERA</v>
          </cell>
          <cell r="T306">
            <v>3745875000</v>
          </cell>
          <cell r="W306">
            <v>1</v>
          </cell>
          <cell r="X306">
            <v>0</v>
          </cell>
          <cell r="Y306">
            <v>0</v>
          </cell>
          <cell r="AF306" t="str">
            <v>Simpang Empat</v>
          </cell>
        </row>
        <row r="307">
          <cell r="F307" t="str">
            <v>Konstruksi</v>
          </cell>
          <cell r="H307" t="str">
            <v>MANDIRI AMAN SEJAHTERA</v>
          </cell>
          <cell r="T307">
            <v>465000000</v>
          </cell>
          <cell r="W307">
            <v>1</v>
          </cell>
          <cell r="X307">
            <v>5</v>
          </cell>
          <cell r="Y307">
            <v>0</v>
          </cell>
          <cell r="AF307" t="str">
            <v>Simpang Empat</v>
          </cell>
        </row>
        <row r="308">
          <cell r="F308" t="str">
            <v>Konstruksi</v>
          </cell>
          <cell r="H308" t="str">
            <v>MANDIRI AMAN SEJAHTERA</v>
          </cell>
          <cell r="T308">
            <v>353222000</v>
          </cell>
          <cell r="W308">
            <v>1</v>
          </cell>
          <cell r="X308">
            <v>6</v>
          </cell>
          <cell r="Y308">
            <v>0</v>
          </cell>
          <cell r="AF308" t="str">
            <v>Simpang Empat</v>
          </cell>
        </row>
        <row r="309">
          <cell r="F309" t="str">
            <v>Industri Makanan</v>
          </cell>
          <cell r="H309" t="str">
            <v>MANDIRI AMAN SEJAHTERA</v>
          </cell>
          <cell r="T309">
            <v>0</v>
          </cell>
          <cell r="W309">
            <v>1</v>
          </cell>
          <cell r="X309">
            <v>0</v>
          </cell>
          <cell r="Y309">
            <v>0</v>
          </cell>
          <cell r="AF309" t="str">
            <v>Simpang Empat</v>
          </cell>
        </row>
        <row r="310">
          <cell r="F310" t="str">
            <v>Tanaman Pangan, Perkebunan, dan Peternakan</v>
          </cell>
          <cell r="H310" t="str">
            <v>MANDIRI AMAN SEJAHTERA</v>
          </cell>
          <cell r="T310">
            <v>0</v>
          </cell>
          <cell r="W310">
            <v>1</v>
          </cell>
          <cell r="X310">
            <v>0</v>
          </cell>
          <cell r="Y310">
            <v>0</v>
          </cell>
          <cell r="AF310" t="str">
            <v>Simpang Empat</v>
          </cell>
        </row>
        <row r="311">
          <cell r="F311" t="str">
            <v>Tanaman Pangan, Perkebunan, dan Peternakan</v>
          </cell>
          <cell r="H311" t="str">
            <v>MANDIRI AMAN SEJAHTERA</v>
          </cell>
          <cell r="T311">
            <v>0</v>
          </cell>
          <cell r="W311">
            <v>1</v>
          </cell>
          <cell r="X311">
            <v>0</v>
          </cell>
          <cell r="Y311">
            <v>0</v>
          </cell>
          <cell r="AF311" t="str">
            <v>Simpang Empat</v>
          </cell>
        </row>
        <row r="312">
          <cell r="F312" t="str">
            <v>Tanaman Pangan, Perkebunan, dan Peternakan</v>
          </cell>
          <cell r="H312" t="str">
            <v>MANDIRI AMAN SEJAHTERA</v>
          </cell>
          <cell r="T312">
            <v>0</v>
          </cell>
          <cell r="W312">
            <v>1</v>
          </cell>
          <cell r="X312">
            <v>0</v>
          </cell>
          <cell r="Y312">
            <v>0</v>
          </cell>
          <cell r="AF312" t="str">
            <v>Simpang Empat</v>
          </cell>
        </row>
        <row r="313">
          <cell r="F313" t="str">
            <v>Perdagangan dan Reparasi</v>
          </cell>
          <cell r="H313" t="str">
            <v>MANDIRI AMAN SEJAHTERA</v>
          </cell>
          <cell r="T313">
            <v>0</v>
          </cell>
          <cell r="W313">
            <v>1</v>
          </cell>
          <cell r="X313">
            <v>0</v>
          </cell>
          <cell r="Y313">
            <v>0</v>
          </cell>
          <cell r="AF313" t="str">
            <v>Simpang Empat</v>
          </cell>
        </row>
        <row r="314">
          <cell r="F314" t="str">
            <v>Transportasi, Gudang dan Telekomunikasi</v>
          </cell>
          <cell r="H314" t="str">
            <v>MANDIRI AMAN SEJAHTERA</v>
          </cell>
          <cell r="T314">
            <v>0</v>
          </cell>
          <cell r="W314">
            <v>1</v>
          </cell>
          <cell r="X314">
            <v>0</v>
          </cell>
          <cell r="Y314">
            <v>0</v>
          </cell>
          <cell r="AF314" t="str">
            <v>Simpang Empat</v>
          </cell>
        </row>
        <row r="315">
          <cell r="F315" t="str">
            <v>Industri Makanan</v>
          </cell>
          <cell r="H315" t="str">
            <v>MANDIRI AMAN SEJAHTERA</v>
          </cell>
          <cell r="T315">
            <v>0</v>
          </cell>
          <cell r="W315">
            <v>1</v>
          </cell>
          <cell r="X315">
            <v>0</v>
          </cell>
          <cell r="Y315">
            <v>0</v>
          </cell>
          <cell r="AF315" t="str">
            <v>Simpang Empat</v>
          </cell>
        </row>
        <row r="316">
          <cell r="F316" t="str">
            <v>Perdagangan dan Reparasi</v>
          </cell>
          <cell r="H316" t="str">
            <v>MANDIRI AMAN SEJAHTERA</v>
          </cell>
          <cell r="T316">
            <v>0</v>
          </cell>
          <cell r="W316">
            <v>1</v>
          </cell>
          <cell r="X316">
            <v>0</v>
          </cell>
          <cell r="Y316">
            <v>0</v>
          </cell>
          <cell r="AF316" t="str">
            <v>Simpang Empat</v>
          </cell>
        </row>
        <row r="317">
          <cell r="F317" t="str">
            <v>Perdagangan dan Reparasi</v>
          </cell>
          <cell r="H317" t="str">
            <v>MANDIRI AMAN SEJAHTERA</v>
          </cell>
          <cell r="T317">
            <v>0</v>
          </cell>
          <cell r="W317">
            <v>1</v>
          </cell>
          <cell r="X317">
            <v>0</v>
          </cell>
          <cell r="Y317">
            <v>0</v>
          </cell>
          <cell r="AF317" t="str">
            <v>Simpang Empat</v>
          </cell>
        </row>
        <row r="318">
          <cell r="F318" t="str">
            <v>Tanaman Pangan, Perkebunan, dan Peternakan</v>
          </cell>
          <cell r="H318" t="str">
            <v>MANDIRI AMAN SEJAHTERA</v>
          </cell>
          <cell r="T318">
            <v>0</v>
          </cell>
          <cell r="W318">
            <v>1</v>
          </cell>
          <cell r="X318">
            <v>0</v>
          </cell>
          <cell r="Y318">
            <v>0</v>
          </cell>
          <cell r="AF318" t="str">
            <v>Simpang Empat</v>
          </cell>
        </row>
        <row r="319">
          <cell r="F319" t="str">
            <v>Perdagangan dan Reparasi</v>
          </cell>
          <cell r="H319" t="str">
            <v>MANDIRI AMAN SEJAHTERA</v>
          </cell>
          <cell r="T319">
            <v>0</v>
          </cell>
          <cell r="W319">
            <v>1</v>
          </cell>
          <cell r="X319">
            <v>0</v>
          </cell>
          <cell r="Y319">
            <v>0</v>
          </cell>
          <cell r="AF319" t="str">
            <v>Simpang Empat</v>
          </cell>
        </row>
        <row r="320">
          <cell r="F320" t="str">
            <v>Konstruksi</v>
          </cell>
          <cell r="H320" t="str">
            <v>MANDIRI AMAN SEJAHTERA</v>
          </cell>
          <cell r="T320">
            <v>0</v>
          </cell>
          <cell r="W320">
            <v>1</v>
          </cell>
          <cell r="X320">
            <v>0</v>
          </cell>
          <cell r="Y320">
            <v>0</v>
          </cell>
          <cell r="AF320" t="str">
            <v>Simpang Empat</v>
          </cell>
        </row>
        <row r="321">
          <cell r="F321" t="str">
            <v>Konstruksi</v>
          </cell>
          <cell r="H321" t="str">
            <v>MANDIRI AMAN SEJAHTERA</v>
          </cell>
          <cell r="T321">
            <v>0</v>
          </cell>
          <cell r="W321">
            <v>1</v>
          </cell>
          <cell r="X321">
            <v>0</v>
          </cell>
          <cell r="Y321">
            <v>0</v>
          </cell>
          <cell r="AF321" t="str">
            <v>Simpang Empat</v>
          </cell>
        </row>
        <row r="322">
          <cell r="F322" t="str">
            <v>Tanaman Pangan, Perkebunan, dan Peternakan</v>
          </cell>
          <cell r="H322" t="str">
            <v>MANDIRI AMAN SEJAHTERA</v>
          </cell>
          <cell r="T322">
            <v>0</v>
          </cell>
          <cell r="W322">
            <v>1</v>
          </cell>
          <cell r="X322">
            <v>0</v>
          </cell>
          <cell r="Y322">
            <v>0</v>
          </cell>
          <cell r="AF322" t="str">
            <v>Simpang Empat</v>
          </cell>
        </row>
        <row r="323">
          <cell r="F323" t="str">
            <v>Tanaman Pangan, Perkebunan, dan Peternakan</v>
          </cell>
          <cell r="H323" t="str">
            <v>MANDIRI AMAN SEJAHTERA</v>
          </cell>
          <cell r="T323">
            <v>0</v>
          </cell>
          <cell r="W323">
            <v>1</v>
          </cell>
          <cell r="X323">
            <v>0</v>
          </cell>
          <cell r="Y323">
            <v>0</v>
          </cell>
          <cell r="AF323" t="str">
            <v>Simpang Empat</v>
          </cell>
        </row>
        <row r="324">
          <cell r="F324" t="str">
            <v>Tanaman Pangan, Perkebunan, dan Peternakan</v>
          </cell>
          <cell r="H324" t="str">
            <v>MANDIRI AMAN SEJAHTERA</v>
          </cell>
          <cell r="T324">
            <v>0</v>
          </cell>
          <cell r="W324">
            <v>1</v>
          </cell>
          <cell r="X324">
            <v>0</v>
          </cell>
          <cell r="Y324">
            <v>0</v>
          </cell>
          <cell r="AF324" t="str">
            <v>Simpang Empat</v>
          </cell>
        </row>
        <row r="325">
          <cell r="F325" t="str">
            <v>Tanaman Pangan, Perkebunan, dan Peternakan</v>
          </cell>
          <cell r="H325" t="str">
            <v>MANDIRI AMAN SEJAHTERA</v>
          </cell>
          <cell r="T325">
            <v>0</v>
          </cell>
          <cell r="W325">
            <v>1</v>
          </cell>
          <cell r="X325">
            <v>0</v>
          </cell>
          <cell r="Y325">
            <v>0</v>
          </cell>
          <cell r="AF325" t="str">
            <v>Simpang Empat</v>
          </cell>
        </row>
        <row r="326">
          <cell r="F326" t="str">
            <v>Konstruksi</v>
          </cell>
          <cell r="H326" t="str">
            <v>MANDIRI AMAN SEJAHTERA</v>
          </cell>
          <cell r="T326">
            <v>0</v>
          </cell>
          <cell r="W326">
            <v>1</v>
          </cell>
          <cell r="X326">
            <v>0</v>
          </cell>
          <cell r="Y326">
            <v>0</v>
          </cell>
          <cell r="AF326" t="str">
            <v>Simpang Empat</v>
          </cell>
        </row>
        <row r="327">
          <cell r="F327" t="str">
            <v>Perdagangan dan Reparasi</v>
          </cell>
          <cell r="H327" t="str">
            <v>MANDIRI AMAN SEJAHTERA</v>
          </cell>
          <cell r="T327">
            <v>0</v>
          </cell>
          <cell r="W327">
            <v>1</v>
          </cell>
          <cell r="X327">
            <v>0</v>
          </cell>
          <cell r="Y327">
            <v>0</v>
          </cell>
          <cell r="AF327" t="str">
            <v>Simpang Empat</v>
          </cell>
        </row>
        <row r="328">
          <cell r="F328" t="str">
            <v>Konstruksi</v>
          </cell>
          <cell r="H328" t="str">
            <v>MANDIRI AMAN SEJAHTERA</v>
          </cell>
          <cell r="T328">
            <v>0</v>
          </cell>
          <cell r="W328">
            <v>1</v>
          </cell>
          <cell r="X328">
            <v>0</v>
          </cell>
          <cell r="Y328">
            <v>0</v>
          </cell>
          <cell r="AF328" t="str">
            <v>Simpang Empat</v>
          </cell>
        </row>
        <row r="329">
          <cell r="F329" t="str">
            <v>Perumahan, Kawasan Industri dan Perkantoran</v>
          </cell>
          <cell r="H329" t="str">
            <v>MANDIRI AMAN SEJAHTERA</v>
          </cell>
          <cell r="T329">
            <v>0</v>
          </cell>
          <cell r="W329">
            <v>1</v>
          </cell>
          <cell r="X329">
            <v>0</v>
          </cell>
          <cell r="Y329">
            <v>0</v>
          </cell>
          <cell r="AF329" t="str">
            <v>Simpang Empat</v>
          </cell>
        </row>
        <row r="330">
          <cell r="F330" t="str">
            <v>Perumahan, Kawasan Industri dan Perkantoran</v>
          </cell>
          <cell r="H330" t="str">
            <v>MANDIRI AMAN SEJAHTERA</v>
          </cell>
          <cell r="T330">
            <v>0</v>
          </cell>
          <cell r="W330">
            <v>1</v>
          </cell>
          <cell r="X330">
            <v>0</v>
          </cell>
          <cell r="Y330">
            <v>0</v>
          </cell>
          <cell r="AF330" t="str">
            <v>Simpang Empat</v>
          </cell>
        </row>
        <row r="331">
          <cell r="F331" t="str">
            <v>Tanaman Pangan, Perkebunan, dan Peternakan</v>
          </cell>
          <cell r="H331" t="str">
            <v>MANDIRI AMAN SEJAHTERA</v>
          </cell>
          <cell r="T331">
            <v>0</v>
          </cell>
          <cell r="W331">
            <v>1</v>
          </cell>
          <cell r="X331">
            <v>0</v>
          </cell>
          <cell r="Y331">
            <v>0</v>
          </cell>
          <cell r="AF331" t="str">
            <v>Simpang Empat</v>
          </cell>
        </row>
        <row r="332">
          <cell r="F332" t="str">
            <v>Tanaman Pangan, Perkebunan, dan Peternakan</v>
          </cell>
          <cell r="H332" t="str">
            <v>MANDIRI AMAN SEJAHTERA</v>
          </cell>
          <cell r="T332">
            <v>0</v>
          </cell>
          <cell r="W332">
            <v>1</v>
          </cell>
          <cell r="X332">
            <v>0</v>
          </cell>
          <cell r="Y332">
            <v>0</v>
          </cell>
          <cell r="AF332" t="str">
            <v>Simpang Empat</v>
          </cell>
        </row>
        <row r="333">
          <cell r="F333" t="str">
            <v>Transportasi, Gudang dan Telekomunikasi</v>
          </cell>
          <cell r="H333" t="str">
            <v>MANDIRI AMAN SEJAHTERA</v>
          </cell>
          <cell r="T333">
            <v>0</v>
          </cell>
          <cell r="W333">
            <v>1</v>
          </cell>
          <cell r="X333">
            <v>0</v>
          </cell>
          <cell r="Y333">
            <v>0</v>
          </cell>
          <cell r="AF333" t="str">
            <v>Simpang Empat</v>
          </cell>
        </row>
        <row r="334">
          <cell r="F334" t="str">
            <v>Perdagangan dan Reparasi</v>
          </cell>
          <cell r="H334" t="str">
            <v>MANDIRI AMAN SEJAHTERA</v>
          </cell>
          <cell r="T334">
            <v>0</v>
          </cell>
          <cell r="W334">
            <v>1</v>
          </cell>
          <cell r="X334">
            <v>0</v>
          </cell>
          <cell r="Y334">
            <v>0</v>
          </cell>
          <cell r="AF334" t="str">
            <v>Simpang Empat</v>
          </cell>
        </row>
        <row r="335">
          <cell r="F335" t="str">
            <v>Transportasi, Gudang dan Telekomunikasi</v>
          </cell>
          <cell r="H335" t="str">
            <v>MANDIRI AMAN SEJAHTERA</v>
          </cell>
          <cell r="T335">
            <v>0</v>
          </cell>
          <cell r="W335">
            <v>1</v>
          </cell>
          <cell r="X335">
            <v>0</v>
          </cell>
          <cell r="Y335">
            <v>0</v>
          </cell>
          <cell r="AF335" t="str">
            <v>Simpang Empat</v>
          </cell>
        </row>
        <row r="336">
          <cell r="F336" t="str">
            <v>Tanaman Pangan, Perkebunan, dan Peternakan</v>
          </cell>
          <cell r="H336" t="str">
            <v>MANDIRI AMAN SEJAHTERA</v>
          </cell>
          <cell r="T336">
            <v>0</v>
          </cell>
          <cell r="W336">
            <v>1</v>
          </cell>
          <cell r="X336">
            <v>0</v>
          </cell>
          <cell r="Y336">
            <v>0</v>
          </cell>
          <cell r="AF336" t="str">
            <v>Simpang Empat</v>
          </cell>
        </row>
        <row r="337">
          <cell r="F337" t="str">
            <v>Tanaman Pangan, Perkebunan, dan Peternakan</v>
          </cell>
          <cell r="H337" t="str">
            <v>MANDIRI AMAN SEJAHTERA</v>
          </cell>
          <cell r="T337">
            <v>0</v>
          </cell>
          <cell r="W337">
            <v>1</v>
          </cell>
          <cell r="X337">
            <v>0</v>
          </cell>
          <cell r="Y337">
            <v>0</v>
          </cell>
          <cell r="AF337" t="str">
            <v>Simpang Empat</v>
          </cell>
        </row>
        <row r="338">
          <cell r="F338" t="str">
            <v>Perdagangan dan Reparasi</v>
          </cell>
          <cell r="H338" t="str">
            <v>MANDIRI AMAN SEJAHTERA</v>
          </cell>
          <cell r="T338">
            <v>0</v>
          </cell>
          <cell r="W338">
            <v>1</v>
          </cell>
          <cell r="X338">
            <v>0</v>
          </cell>
          <cell r="Y338">
            <v>0</v>
          </cell>
          <cell r="AF338" t="str">
            <v>Simpang Empat</v>
          </cell>
        </row>
        <row r="339">
          <cell r="F339" t="str">
            <v>Perdagangan dan Reparasi</v>
          </cell>
          <cell r="H339" t="str">
            <v>MANDIRI AMAN SEJAHTERA</v>
          </cell>
          <cell r="T339">
            <v>0</v>
          </cell>
          <cell r="W339">
            <v>1</v>
          </cell>
          <cell r="X339">
            <v>0</v>
          </cell>
          <cell r="Y339">
            <v>0</v>
          </cell>
          <cell r="AF339" t="str">
            <v>Simpang Empat</v>
          </cell>
        </row>
        <row r="340">
          <cell r="F340" t="str">
            <v>Perdagangan dan Reparasi</v>
          </cell>
          <cell r="H340" t="str">
            <v>MANDIRI AMAN SEJAHTERA</v>
          </cell>
          <cell r="T340">
            <v>0</v>
          </cell>
          <cell r="W340">
            <v>1</v>
          </cell>
          <cell r="X340">
            <v>0</v>
          </cell>
          <cell r="Y340">
            <v>0</v>
          </cell>
          <cell r="AF340" t="str">
            <v>Simpang Empat</v>
          </cell>
        </row>
        <row r="341">
          <cell r="F341" t="str">
            <v>Perdagangan dan Reparasi</v>
          </cell>
          <cell r="H341" t="str">
            <v>MANDIRI AMAN SEJAHTERA</v>
          </cell>
          <cell r="T341">
            <v>0</v>
          </cell>
          <cell r="W341">
            <v>1</v>
          </cell>
          <cell r="X341">
            <v>0</v>
          </cell>
          <cell r="Y341">
            <v>0</v>
          </cell>
          <cell r="AF341" t="str">
            <v>Simpang Empat</v>
          </cell>
        </row>
        <row r="342">
          <cell r="F342" t="str">
            <v>Konstruksi</v>
          </cell>
          <cell r="H342" t="str">
            <v>MANDIRI AMAN SEJAHTERA</v>
          </cell>
          <cell r="T342">
            <v>0</v>
          </cell>
          <cell r="W342">
            <v>1</v>
          </cell>
          <cell r="X342">
            <v>0</v>
          </cell>
          <cell r="Y342">
            <v>0</v>
          </cell>
          <cell r="AF342" t="str">
            <v>Simpang Empat</v>
          </cell>
        </row>
        <row r="343">
          <cell r="F343" t="str">
            <v>Konstruksi</v>
          </cell>
          <cell r="H343" t="str">
            <v>MANDIRI AMAN SEJAHTERA</v>
          </cell>
          <cell r="T343">
            <v>0</v>
          </cell>
          <cell r="W343">
            <v>1</v>
          </cell>
          <cell r="X343">
            <v>0</v>
          </cell>
          <cell r="Y343">
            <v>0</v>
          </cell>
          <cell r="AF343" t="str">
            <v>Simpang Empat</v>
          </cell>
        </row>
        <row r="344">
          <cell r="F344" t="str">
            <v>Konstruksi</v>
          </cell>
          <cell r="H344" t="str">
            <v>MANDIRI AMAN SEJAHTERA</v>
          </cell>
          <cell r="T344">
            <v>0</v>
          </cell>
          <cell r="W344">
            <v>1</v>
          </cell>
          <cell r="X344">
            <v>0</v>
          </cell>
          <cell r="Y344">
            <v>0</v>
          </cell>
          <cell r="AF344" t="str">
            <v>Simpang Empat</v>
          </cell>
        </row>
        <row r="345">
          <cell r="F345" t="str">
            <v>Konstruksi</v>
          </cell>
          <cell r="H345" t="str">
            <v>MANDIRI AMAN SEJAHTERA</v>
          </cell>
          <cell r="T345">
            <v>0</v>
          </cell>
          <cell r="W345">
            <v>1</v>
          </cell>
          <cell r="X345">
            <v>0</v>
          </cell>
          <cell r="Y345">
            <v>0</v>
          </cell>
          <cell r="AF345" t="str">
            <v>Simpang Empat</v>
          </cell>
        </row>
        <row r="346">
          <cell r="F346" t="str">
            <v>Konstruksi</v>
          </cell>
          <cell r="H346" t="str">
            <v>MANDIRI AMAN SEJAHTERA</v>
          </cell>
          <cell r="T346">
            <v>0</v>
          </cell>
          <cell r="W346">
            <v>1</v>
          </cell>
          <cell r="X346">
            <v>0</v>
          </cell>
          <cell r="Y346">
            <v>0</v>
          </cell>
          <cell r="AF346" t="str">
            <v>Simpang Empat</v>
          </cell>
        </row>
        <row r="347">
          <cell r="F347" t="str">
            <v>Konstruksi</v>
          </cell>
          <cell r="H347" t="str">
            <v>MANDIRI AMAN SEJAHTERA</v>
          </cell>
          <cell r="T347">
            <v>0</v>
          </cell>
          <cell r="W347">
            <v>1</v>
          </cell>
          <cell r="X347">
            <v>0</v>
          </cell>
          <cell r="Y347">
            <v>0</v>
          </cell>
          <cell r="AF347" t="str">
            <v>Simpang Empat</v>
          </cell>
        </row>
        <row r="348">
          <cell r="F348" t="str">
            <v>Konstruksi</v>
          </cell>
          <cell r="H348" t="str">
            <v>MANDIRI AMAN SEJAHTERA</v>
          </cell>
          <cell r="T348">
            <v>0</v>
          </cell>
          <cell r="W348">
            <v>1</v>
          </cell>
          <cell r="X348">
            <v>0</v>
          </cell>
          <cell r="Y348">
            <v>0</v>
          </cell>
          <cell r="AF348" t="str">
            <v>Simpang Empat</v>
          </cell>
        </row>
        <row r="349">
          <cell r="F349" t="str">
            <v>Konstruksi</v>
          </cell>
          <cell r="H349" t="str">
            <v>MANDIRI AMAN SEJAHTERA</v>
          </cell>
          <cell r="T349">
            <v>0</v>
          </cell>
          <cell r="W349">
            <v>1</v>
          </cell>
          <cell r="X349">
            <v>0</v>
          </cell>
          <cell r="Y349">
            <v>0</v>
          </cell>
          <cell r="AF349" t="str">
            <v>Simpang Empat</v>
          </cell>
        </row>
        <row r="350">
          <cell r="F350" t="str">
            <v>Konstruksi</v>
          </cell>
          <cell r="H350" t="str">
            <v>MANDIRI AMAN SEJAHTERA</v>
          </cell>
          <cell r="T350">
            <v>0</v>
          </cell>
          <cell r="W350">
            <v>1</v>
          </cell>
          <cell r="X350">
            <v>0</v>
          </cell>
          <cell r="Y350">
            <v>0</v>
          </cell>
          <cell r="AF350" t="str">
            <v>Simpang Empat</v>
          </cell>
        </row>
        <row r="351">
          <cell r="F351" t="str">
            <v>Konstruksi</v>
          </cell>
          <cell r="H351" t="str">
            <v>MANDIRI AMAN SEJAHTERA</v>
          </cell>
          <cell r="T351">
            <v>0</v>
          </cell>
          <cell r="W351">
            <v>1</v>
          </cell>
          <cell r="X351">
            <v>0</v>
          </cell>
          <cell r="Y351">
            <v>0</v>
          </cell>
          <cell r="AF351" t="str">
            <v>Simpang Empat</v>
          </cell>
        </row>
        <row r="352">
          <cell r="F352" t="str">
            <v>Konstruksi</v>
          </cell>
          <cell r="H352" t="str">
            <v>MANDIRI AMAN SEJAHTERA</v>
          </cell>
          <cell r="T352">
            <v>0</v>
          </cell>
          <cell r="W352">
            <v>1</v>
          </cell>
          <cell r="X352">
            <v>0</v>
          </cell>
          <cell r="Y352">
            <v>0</v>
          </cell>
          <cell r="AF352" t="str">
            <v>Simpang Empat</v>
          </cell>
        </row>
        <row r="353">
          <cell r="F353" t="str">
            <v>Konstruksi</v>
          </cell>
          <cell r="H353" t="str">
            <v>MANDIRI AMAN SEJAHTERA</v>
          </cell>
          <cell r="T353">
            <v>0</v>
          </cell>
          <cell r="W353">
            <v>1</v>
          </cell>
          <cell r="X353">
            <v>0</v>
          </cell>
          <cell r="Y353">
            <v>0</v>
          </cell>
          <cell r="AF353" t="str">
            <v>Simpang Empat</v>
          </cell>
        </row>
        <row r="354">
          <cell r="F354" t="str">
            <v>Konstruksi</v>
          </cell>
          <cell r="H354" t="str">
            <v>MANDIRI AMAN SEJAHTERA</v>
          </cell>
          <cell r="T354">
            <v>0</v>
          </cell>
          <cell r="W354">
            <v>1</v>
          </cell>
          <cell r="X354">
            <v>0</v>
          </cell>
          <cell r="Y354">
            <v>0</v>
          </cell>
          <cell r="AF354" t="str">
            <v>Simpang Empat</v>
          </cell>
        </row>
        <row r="355">
          <cell r="F355" t="str">
            <v>Konstruksi</v>
          </cell>
          <cell r="H355" t="str">
            <v>MANDIRI AMAN SEJAHTERA</v>
          </cell>
          <cell r="T355">
            <v>0</v>
          </cell>
          <cell r="W355">
            <v>1</v>
          </cell>
          <cell r="X355">
            <v>0</v>
          </cell>
          <cell r="Y355">
            <v>0</v>
          </cell>
          <cell r="AF355" t="str">
            <v>Simpang Empat</v>
          </cell>
        </row>
        <row r="356">
          <cell r="F356" t="str">
            <v>Perdagangan dan Reparasi</v>
          </cell>
          <cell r="H356" t="str">
            <v>MANDIRI AMAN SEJAHTERA</v>
          </cell>
          <cell r="T356">
            <v>0</v>
          </cell>
          <cell r="W356">
            <v>1</v>
          </cell>
          <cell r="X356">
            <v>0</v>
          </cell>
          <cell r="Y356">
            <v>0</v>
          </cell>
          <cell r="AF356" t="str">
            <v>Simpang Empat</v>
          </cell>
        </row>
        <row r="357">
          <cell r="F357" t="str">
            <v>Perdagangan dan Reparasi</v>
          </cell>
          <cell r="H357" t="str">
            <v>MANDIRI AMAN SEJAHTERA</v>
          </cell>
          <cell r="T357">
            <v>0</v>
          </cell>
          <cell r="W357">
            <v>1</v>
          </cell>
          <cell r="X357">
            <v>2</v>
          </cell>
          <cell r="Y357">
            <v>0</v>
          </cell>
          <cell r="AF357" t="str">
            <v>Simpang Empat</v>
          </cell>
        </row>
        <row r="358">
          <cell r="F358" t="str">
            <v>Tanaman Pangan, Perkebunan, dan Peternakan</v>
          </cell>
          <cell r="H358" t="str">
            <v>MANDIRI AMAN SEJAHTERA</v>
          </cell>
          <cell r="T358">
            <v>0</v>
          </cell>
          <cell r="W358">
            <v>1</v>
          </cell>
          <cell r="X358">
            <v>0</v>
          </cell>
          <cell r="Y358">
            <v>0</v>
          </cell>
          <cell r="AF358" t="str">
            <v>Simpang Empat</v>
          </cell>
        </row>
        <row r="359">
          <cell r="F359" t="str">
            <v>Konstruksi</v>
          </cell>
          <cell r="H359" t="str">
            <v>MANDIRI AMAN SEKAWAN</v>
          </cell>
          <cell r="T359">
            <v>0</v>
          </cell>
          <cell r="W359">
            <v>1</v>
          </cell>
          <cell r="X359">
            <v>0</v>
          </cell>
          <cell r="Y359">
            <v>0</v>
          </cell>
          <cell r="AF359" t="str">
            <v>Simpang Empat</v>
          </cell>
        </row>
        <row r="360">
          <cell r="F360" t="str">
            <v>Perdagangan dan Reparasi</v>
          </cell>
          <cell r="H360" t="str">
            <v>MANDIRI AMAN SEKAWAN</v>
          </cell>
          <cell r="T360">
            <v>0</v>
          </cell>
          <cell r="W360">
            <v>1</v>
          </cell>
          <cell r="X360">
            <v>0</v>
          </cell>
          <cell r="Y360">
            <v>0</v>
          </cell>
          <cell r="AF360" t="str">
            <v>Simpang Empat</v>
          </cell>
        </row>
        <row r="361">
          <cell r="F361" t="str">
            <v>Tanaman Pangan, Perkebunan, dan Peternakan</v>
          </cell>
          <cell r="H361" t="str">
            <v>MANDIRI AMAN SEKAWAN</v>
          </cell>
          <cell r="T361">
            <v>0</v>
          </cell>
          <cell r="W361">
            <v>1</v>
          </cell>
          <cell r="X361">
            <v>0</v>
          </cell>
          <cell r="Y361">
            <v>0</v>
          </cell>
          <cell r="AF361" t="str">
            <v>Simpang Empat</v>
          </cell>
        </row>
        <row r="362">
          <cell r="F362" t="str">
            <v>Tanaman Pangan, Perkebunan, dan Peternakan</v>
          </cell>
          <cell r="H362" t="str">
            <v>MANDIRI AMAN SEKAWAN</v>
          </cell>
          <cell r="T362">
            <v>0</v>
          </cell>
          <cell r="W362">
            <v>1</v>
          </cell>
          <cell r="X362">
            <v>0</v>
          </cell>
          <cell r="Y362">
            <v>0</v>
          </cell>
          <cell r="AF362" t="str">
            <v>Simpang Empat</v>
          </cell>
        </row>
        <row r="363">
          <cell r="F363" t="str">
            <v>Tanaman Pangan, Perkebunan, dan Peternakan</v>
          </cell>
          <cell r="H363" t="str">
            <v>MANDIRI AMAN SEKAWAN</v>
          </cell>
          <cell r="T363">
            <v>0</v>
          </cell>
          <cell r="W363">
            <v>1</v>
          </cell>
          <cell r="X363">
            <v>0</v>
          </cell>
          <cell r="Y363">
            <v>0</v>
          </cell>
          <cell r="AF363" t="str">
            <v>Simpang Empat</v>
          </cell>
        </row>
        <row r="364">
          <cell r="F364" t="str">
            <v>Industri Makanan</v>
          </cell>
          <cell r="H364" t="str">
            <v>MANDIRI AMAN SEKAWAN</v>
          </cell>
          <cell r="T364">
            <v>0</v>
          </cell>
          <cell r="W364">
            <v>1</v>
          </cell>
          <cell r="X364">
            <v>0</v>
          </cell>
          <cell r="Y364">
            <v>0</v>
          </cell>
          <cell r="AF364" t="str">
            <v>Simpang Empat</v>
          </cell>
        </row>
        <row r="365">
          <cell r="F365" t="str">
            <v>Tanaman Pangan, Perkebunan, dan Peternakan</v>
          </cell>
          <cell r="H365" t="str">
            <v>MANDIRI AMAN SEKAWAN</v>
          </cell>
          <cell r="T365">
            <v>0</v>
          </cell>
          <cell r="W365">
            <v>1</v>
          </cell>
          <cell r="X365">
            <v>0</v>
          </cell>
          <cell r="Y365">
            <v>0</v>
          </cell>
          <cell r="AF365" t="str">
            <v>Simpang Empat</v>
          </cell>
        </row>
        <row r="366">
          <cell r="F366" t="str">
            <v>Tanaman Pangan, Perkebunan, dan Peternakan</v>
          </cell>
          <cell r="H366" t="str">
            <v>MANDIRI AMAN SEKAWAN</v>
          </cell>
          <cell r="T366">
            <v>0</v>
          </cell>
          <cell r="W366">
            <v>1</v>
          </cell>
          <cell r="X366">
            <v>0</v>
          </cell>
          <cell r="Y366">
            <v>0</v>
          </cell>
          <cell r="AF366" t="str">
            <v>Simpang Empat</v>
          </cell>
        </row>
        <row r="367">
          <cell r="F367" t="str">
            <v>Tanaman Pangan, Perkebunan, dan Peternakan</v>
          </cell>
          <cell r="H367" t="str">
            <v>MANDIRI AMAN SEKAWAN</v>
          </cell>
          <cell r="T367">
            <v>0</v>
          </cell>
          <cell r="W367">
            <v>1</v>
          </cell>
          <cell r="X367">
            <v>0</v>
          </cell>
          <cell r="Y367">
            <v>0</v>
          </cell>
          <cell r="AF367" t="str">
            <v>Simpang Empat</v>
          </cell>
        </row>
        <row r="368">
          <cell r="F368" t="str">
            <v>Jasa Lainnya</v>
          </cell>
          <cell r="H368" t="str">
            <v>MANDIRI AMAN SEKAWAN</v>
          </cell>
          <cell r="T368">
            <v>0</v>
          </cell>
          <cell r="W368">
            <v>1</v>
          </cell>
          <cell r="X368">
            <v>0</v>
          </cell>
          <cell r="Y368">
            <v>0</v>
          </cell>
          <cell r="AF368" t="str">
            <v>Simpang Empat</v>
          </cell>
        </row>
        <row r="369">
          <cell r="F369" t="str">
            <v>Jasa Lainnya</v>
          </cell>
          <cell r="H369" t="str">
            <v>MANDIRI AMAN SEKAWAN</v>
          </cell>
          <cell r="T369">
            <v>0</v>
          </cell>
          <cell r="W369">
            <v>1</v>
          </cell>
          <cell r="X369">
            <v>0</v>
          </cell>
          <cell r="Y369">
            <v>0</v>
          </cell>
          <cell r="AF369" t="str">
            <v>Simpang Empat</v>
          </cell>
        </row>
        <row r="370">
          <cell r="F370" t="str">
            <v>Jasa Lainnya</v>
          </cell>
          <cell r="H370" t="str">
            <v>MANDIRI AMAN SEKAWAN</v>
          </cell>
          <cell r="T370">
            <v>0</v>
          </cell>
          <cell r="W370">
            <v>1</v>
          </cell>
          <cell r="X370">
            <v>0</v>
          </cell>
          <cell r="Y370">
            <v>0</v>
          </cell>
          <cell r="AF370" t="str">
            <v>Simpang Empat</v>
          </cell>
        </row>
        <row r="371">
          <cell r="F371" t="str">
            <v>Jasa Lainnya</v>
          </cell>
          <cell r="H371" t="str">
            <v>MANDIRI AMAN SEKAWAN</v>
          </cell>
          <cell r="T371">
            <v>0</v>
          </cell>
          <cell r="W371">
            <v>1</v>
          </cell>
          <cell r="X371">
            <v>0</v>
          </cell>
          <cell r="Y371">
            <v>0</v>
          </cell>
          <cell r="AF371" t="str">
            <v>Simpang Empat</v>
          </cell>
        </row>
        <row r="372">
          <cell r="F372" t="str">
            <v>Jasa Lainnya</v>
          </cell>
          <cell r="H372" t="str">
            <v>MANDIRI AMAN SEKAWAN</v>
          </cell>
          <cell r="T372">
            <v>0</v>
          </cell>
          <cell r="W372">
            <v>1</v>
          </cell>
          <cell r="X372">
            <v>0</v>
          </cell>
          <cell r="Y372">
            <v>0</v>
          </cell>
          <cell r="AF372" t="str">
            <v>Simpang Empat</v>
          </cell>
        </row>
        <row r="373">
          <cell r="F373" t="str">
            <v>Konstruksi</v>
          </cell>
          <cell r="H373" t="str">
            <v>MANDIRI AMAN SEKAWAN</v>
          </cell>
          <cell r="T373">
            <v>0</v>
          </cell>
          <cell r="W373">
            <v>1</v>
          </cell>
          <cell r="X373">
            <v>0</v>
          </cell>
          <cell r="Y373">
            <v>0</v>
          </cell>
          <cell r="AF373" t="str">
            <v>Simpang Empat</v>
          </cell>
        </row>
        <row r="374">
          <cell r="F374" t="str">
            <v>Transportasi, Gudang dan Telekomunikasi</v>
          </cell>
          <cell r="H374" t="str">
            <v>MANDIRI AMAN SEKAWAN</v>
          </cell>
          <cell r="T374">
            <v>0</v>
          </cell>
          <cell r="W374">
            <v>1</v>
          </cell>
          <cell r="X374">
            <v>0</v>
          </cell>
          <cell r="Y374">
            <v>0</v>
          </cell>
          <cell r="AF374" t="str">
            <v>Simpang Empat</v>
          </cell>
        </row>
        <row r="375">
          <cell r="F375" t="str">
            <v>Transportasi, Gudang dan Telekomunikasi</v>
          </cell>
          <cell r="H375" t="str">
            <v>MANDIRI AMAN SEKAWAN</v>
          </cell>
          <cell r="T375">
            <v>0</v>
          </cell>
          <cell r="W375">
            <v>1</v>
          </cell>
          <cell r="X375">
            <v>0</v>
          </cell>
          <cell r="Y375">
            <v>0</v>
          </cell>
          <cell r="AF375" t="str">
            <v>Simpang Empat</v>
          </cell>
        </row>
        <row r="376">
          <cell r="F376" t="str">
            <v>Perdagangan dan Reparasi</v>
          </cell>
          <cell r="H376" t="str">
            <v>MANDIRI AMAN SEKAWAN</v>
          </cell>
          <cell r="T376">
            <v>0</v>
          </cell>
          <cell r="W376">
            <v>1</v>
          </cell>
          <cell r="X376">
            <v>0</v>
          </cell>
          <cell r="Y376">
            <v>0</v>
          </cell>
          <cell r="AF376" t="str">
            <v>Simpang Empat</v>
          </cell>
        </row>
        <row r="377">
          <cell r="F377" t="str">
            <v>Perdagangan dan Reparasi</v>
          </cell>
          <cell r="H377" t="str">
            <v>MANDIRI AMAN SEKAWAN</v>
          </cell>
          <cell r="T377">
            <v>0</v>
          </cell>
          <cell r="W377">
            <v>1</v>
          </cell>
          <cell r="X377">
            <v>0</v>
          </cell>
          <cell r="Y377">
            <v>0</v>
          </cell>
          <cell r="AF377" t="str">
            <v>Simpang Empat</v>
          </cell>
        </row>
        <row r="378">
          <cell r="F378" t="str">
            <v>Perdagangan dan Reparasi</v>
          </cell>
          <cell r="H378" t="str">
            <v>MANDIRI AMAN SEKAWAN</v>
          </cell>
          <cell r="T378">
            <v>0</v>
          </cell>
          <cell r="W378">
            <v>1</v>
          </cell>
          <cell r="X378">
            <v>0</v>
          </cell>
          <cell r="Y378">
            <v>0</v>
          </cell>
          <cell r="AF378" t="str">
            <v>Simpang Empat</v>
          </cell>
        </row>
        <row r="379">
          <cell r="F379" t="str">
            <v>Perdagangan dan Reparasi</v>
          </cell>
          <cell r="H379" t="str">
            <v>MANDIRI AMAN SEKAWAN</v>
          </cell>
          <cell r="T379">
            <v>0</v>
          </cell>
          <cell r="W379">
            <v>1</v>
          </cell>
          <cell r="X379">
            <v>0</v>
          </cell>
          <cell r="Y379">
            <v>0</v>
          </cell>
          <cell r="AF379" t="str">
            <v>Simpang Empat</v>
          </cell>
        </row>
        <row r="380">
          <cell r="F380" t="str">
            <v>Perdagangan dan Reparasi</v>
          </cell>
          <cell r="H380" t="str">
            <v>MANDIRI AMAN SEKAWAN</v>
          </cell>
          <cell r="T380">
            <v>0</v>
          </cell>
          <cell r="W380">
            <v>1</v>
          </cell>
          <cell r="X380">
            <v>0</v>
          </cell>
          <cell r="Y380">
            <v>0</v>
          </cell>
          <cell r="AF380" t="str">
            <v>Simpang Empat</v>
          </cell>
        </row>
        <row r="381">
          <cell r="F381" t="str">
            <v>Perdagangan dan Reparasi</v>
          </cell>
          <cell r="H381" t="str">
            <v>MANDIRI AMAN SEKAWAN</v>
          </cell>
          <cell r="T381">
            <v>0</v>
          </cell>
          <cell r="W381">
            <v>1</v>
          </cell>
          <cell r="X381">
            <v>0</v>
          </cell>
          <cell r="Y381">
            <v>0</v>
          </cell>
          <cell r="AF381" t="str">
            <v>Simpang Empat</v>
          </cell>
        </row>
        <row r="382">
          <cell r="F382" t="str">
            <v>Konstruksi</v>
          </cell>
          <cell r="H382" t="str">
            <v>MANDIRI AMAN SEKAWAN</v>
          </cell>
          <cell r="T382">
            <v>0</v>
          </cell>
          <cell r="W382">
            <v>1</v>
          </cell>
          <cell r="X382">
            <v>0</v>
          </cell>
          <cell r="Y382">
            <v>0</v>
          </cell>
          <cell r="AF382" t="str">
            <v>Simpang Empat</v>
          </cell>
        </row>
        <row r="383">
          <cell r="F383" t="str">
            <v>Konstruksi</v>
          </cell>
          <cell r="H383" t="str">
            <v>MANDIRI AMAN SEKAWAN</v>
          </cell>
          <cell r="T383">
            <v>0</v>
          </cell>
          <cell r="W383">
            <v>1</v>
          </cell>
          <cell r="X383">
            <v>0</v>
          </cell>
          <cell r="Y383">
            <v>0</v>
          </cell>
          <cell r="AF383" t="str">
            <v>Simpang Empat</v>
          </cell>
        </row>
        <row r="384">
          <cell r="F384" t="str">
            <v>Konstruksi</v>
          </cell>
          <cell r="H384" t="str">
            <v>MANDIRI AMAN SEKAWAN</v>
          </cell>
          <cell r="T384">
            <v>0</v>
          </cell>
          <cell r="W384">
            <v>1</v>
          </cell>
          <cell r="X384">
            <v>0</v>
          </cell>
          <cell r="Y384">
            <v>0</v>
          </cell>
          <cell r="AF384" t="str">
            <v>Simpang Empat</v>
          </cell>
        </row>
        <row r="385">
          <cell r="F385" t="str">
            <v>Konstruksi</v>
          </cell>
          <cell r="H385" t="str">
            <v>MANDIRI AMAN SEKAWAN</v>
          </cell>
          <cell r="T385">
            <v>0</v>
          </cell>
          <cell r="W385">
            <v>1</v>
          </cell>
          <cell r="X385">
            <v>0</v>
          </cell>
          <cell r="Y385">
            <v>0</v>
          </cell>
          <cell r="AF385" t="str">
            <v>Simpang Empat</v>
          </cell>
        </row>
        <row r="386">
          <cell r="F386" t="str">
            <v>Konstruksi</v>
          </cell>
          <cell r="H386" t="str">
            <v>MANDIRI AMAN SEKAWAN</v>
          </cell>
          <cell r="T386">
            <v>0</v>
          </cell>
          <cell r="W386">
            <v>1</v>
          </cell>
          <cell r="X386">
            <v>0</v>
          </cell>
          <cell r="Y386">
            <v>0</v>
          </cell>
          <cell r="AF386" t="str">
            <v>Simpang Empat</v>
          </cell>
        </row>
        <row r="387">
          <cell r="F387" t="str">
            <v>Konstruksi</v>
          </cell>
          <cell r="H387" t="str">
            <v>MANDIRI AMAN SEKAWAN</v>
          </cell>
          <cell r="T387">
            <v>0</v>
          </cell>
          <cell r="W387">
            <v>1</v>
          </cell>
          <cell r="X387">
            <v>0</v>
          </cell>
          <cell r="Y387">
            <v>0</v>
          </cell>
          <cell r="AF387" t="str">
            <v>Simpang Empat</v>
          </cell>
        </row>
        <row r="388">
          <cell r="F388" t="str">
            <v>Konstruksi</v>
          </cell>
          <cell r="H388" t="str">
            <v>MANDIRI AMAN SEKAWAN</v>
          </cell>
          <cell r="T388">
            <v>0</v>
          </cell>
          <cell r="W388">
            <v>1</v>
          </cell>
          <cell r="X388">
            <v>0</v>
          </cell>
          <cell r="Y388">
            <v>0</v>
          </cell>
          <cell r="AF388" t="str">
            <v>Simpang Empat</v>
          </cell>
        </row>
        <row r="389">
          <cell r="F389" t="str">
            <v>Konstruksi</v>
          </cell>
          <cell r="H389" t="str">
            <v>MANDIRI AMAN SEKAWAN</v>
          </cell>
          <cell r="T389">
            <v>0</v>
          </cell>
          <cell r="W389">
            <v>1</v>
          </cell>
          <cell r="X389">
            <v>0</v>
          </cell>
          <cell r="Y389">
            <v>0</v>
          </cell>
          <cell r="AF389" t="str">
            <v>Simpang Empat</v>
          </cell>
        </row>
        <row r="390">
          <cell r="F390" t="str">
            <v>Konstruksi</v>
          </cell>
          <cell r="H390" t="str">
            <v>MANDIRI AMAN SEKAWAN</v>
          </cell>
          <cell r="T390">
            <v>0</v>
          </cell>
          <cell r="W390">
            <v>1</v>
          </cell>
          <cell r="X390">
            <v>0</v>
          </cell>
          <cell r="Y390">
            <v>0</v>
          </cell>
          <cell r="AF390" t="str">
            <v>Simpang Empat</v>
          </cell>
        </row>
        <row r="391">
          <cell r="F391" t="str">
            <v>Konstruksi</v>
          </cell>
          <cell r="H391" t="str">
            <v>MANDIRI AMAN SEKAWAN</v>
          </cell>
          <cell r="T391">
            <v>0</v>
          </cell>
          <cell r="W391">
            <v>1</v>
          </cell>
          <cell r="X391">
            <v>0</v>
          </cell>
          <cell r="Y391">
            <v>0</v>
          </cell>
          <cell r="AF391" t="str">
            <v>Simpang Empat</v>
          </cell>
        </row>
        <row r="392">
          <cell r="F392" t="str">
            <v>Konstruksi</v>
          </cell>
          <cell r="H392" t="str">
            <v>MANDIRI AMAN SEKAWAN</v>
          </cell>
          <cell r="T392">
            <v>0</v>
          </cell>
          <cell r="W392">
            <v>1</v>
          </cell>
          <cell r="X392">
            <v>0</v>
          </cell>
          <cell r="Y392">
            <v>0</v>
          </cell>
          <cell r="AF392" t="str">
            <v>Simpang Empat</v>
          </cell>
        </row>
        <row r="393">
          <cell r="F393" t="str">
            <v>Konstruksi</v>
          </cell>
          <cell r="H393" t="str">
            <v>MANDIRI AMAN SEKAWAN</v>
          </cell>
          <cell r="T393">
            <v>0</v>
          </cell>
          <cell r="W393">
            <v>1</v>
          </cell>
          <cell r="X393">
            <v>0</v>
          </cell>
          <cell r="Y393">
            <v>0</v>
          </cell>
          <cell r="AF393" t="str">
            <v>Simpang Empat</v>
          </cell>
        </row>
        <row r="394">
          <cell r="F394" t="str">
            <v>Konstruksi</v>
          </cell>
          <cell r="H394" t="str">
            <v>MANDIRI AMAN SEKAWAN</v>
          </cell>
          <cell r="T394">
            <v>0</v>
          </cell>
          <cell r="W394">
            <v>1</v>
          </cell>
          <cell r="X394">
            <v>0</v>
          </cell>
          <cell r="Y394">
            <v>0</v>
          </cell>
          <cell r="AF394" t="str">
            <v>Simpang Empat</v>
          </cell>
        </row>
        <row r="395">
          <cell r="F395" t="str">
            <v>Konstruksi</v>
          </cell>
          <cell r="H395" t="str">
            <v>MANDIRI AMAN SEKAWAN</v>
          </cell>
          <cell r="T395">
            <v>0</v>
          </cell>
          <cell r="W395">
            <v>1</v>
          </cell>
          <cell r="X395">
            <v>0</v>
          </cell>
          <cell r="Y395">
            <v>0</v>
          </cell>
          <cell r="AF395" t="str">
            <v>Simpang Empat</v>
          </cell>
        </row>
        <row r="396">
          <cell r="F396" t="str">
            <v>Konstruksi</v>
          </cell>
          <cell r="H396" t="str">
            <v>MANDIRI AMAN SEKAWAN</v>
          </cell>
          <cell r="T396">
            <v>0</v>
          </cell>
          <cell r="W396">
            <v>1</v>
          </cell>
          <cell r="X396">
            <v>0</v>
          </cell>
          <cell r="Y396">
            <v>0</v>
          </cell>
          <cell r="AF396" t="str">
            <v>Simpang Empat</v>
          </cell>
        </row>
        <row r="397">
          <cell r="F397" t="str">
            <v>Konstruksi</v>
          </cell>
          <cell r="H397" t="str">
            <v>MANDIRI AMAN SEKAWAN</v>
          </cell>
          <cell r="T397">
            <v>0</v>
          </cell>
          <cell r="W397">
            <v>1</v>
          </cell>
          <cell r="X397">
            <v>0</v>
          </cell>
          <cell r="Y397">
            <v>0</v>
          </cell>
          <cell r="AF397" t="str">
            <v>Simpang Empat</v>
          </cell>
        </row>
        <row r="398">
          <cell r="F398" t="str">
            <v>Konstruksi</v>
          </cell>
          <cell r="H398" t="str">
            <v>MANDIRI AMAN SEKAWAN</v>
          </cell>
          <cell r="T398">
            <v>0</v>
          </cell>
          <cell r="W398">
            <v>1</v>
          </cell>
          <cell r="X398">
            <v>0</v>
          </cell>
          <cell r="Y398">
            <v>0</v>
          </cell>
          <cell r="AF398" t="str">
            <v>Simpang Empat</v>
          </cell>
        </row>
        <row r="399">
          <cell r="F399" t="str">
            <v>Transportasi, Gudang dan Telekomunikasi</v>
          </cell>
          <cell r="H399" t="str">
            <v>PAGAR MULYA KARYATAMA</v>
          </cell>
          <cell r="T399">
            <v>0</v>
          </cell>
          <cell r="W399">
            <v>1</v>
          </cell>
          <cell r="X399">
            <v>0</v>
          </cell>
          <cell r="Y399">
            <v>0</v>
          </cell>
          <cell r="AF399" t="str">
            <v>Simpang Empat</v>
          </cell>
        </row>
        <row r="400">
          <cell r="F400" t="str">
            <v>Transportasi, Gudang dan Telekomunikasi</v>
          </cell>
          <cell r="H400" t="str">
            <v>PAGAR MULYA KARYATAMA</v>
          </cell>
          <cell r="T400">
            <v>0</v>
          </cell>
          <cell r="W400">
            <v>1</v>
          </cell>
          <cell r="X400">
            <v>0</v>
          </cell>
          <cell r="Y400">
            <v>0</v>
          </cell>
          <cell r="AF400" t="str">
            <v>Simpang Empat</v>
          </cell>
        </row>
        <row r="401">
          <cell r="F401" t="str">
            <v>Transportasi, Gudang dan Telekomunikasi</v>
          </cell>
          <cell r="H401" t="str">
            <v>PAGAR MULYA KARYATAMA</v>
          </cell>
          <cell r="T401">
            <v>0</v>
          </cell>
          <cell r="W401">
            <v>1</v>
          </cell>
          <cell r="X401">
            <v>0</v>
          </cell>
          <cell r="Y401">
            <v>0</v>
          </cell>
          <cell r="AF401" t="str">
            <v>Simpang Empat</v>
          </cell>
        </row>
        <row r="402">
          <cell r="F402" t="str">
            <v>Transportasi, Gudang dan Telekomunikasi</v>
          </cell>
          <cell r="H402" t="str">
            <v>PAGAR MULYA KARYATAMA</v>
          </cell>
          <cell r="T402">
            <v>9200000000</v>
          </cell>
          <cell r="W402">
            <v>1</v>
          </cell>
          <cell r="X402">
            <v>0</v>
          </cell>
          <cell r="Y402">
            <v>0</v>
          </cell>
          <cell r="AF402" t="str">
            <v>Simpang Empat</v>
          </cell>
        </row>
        <row r="403">
          <cell r="F403" t="str">
            <v>Transportasi, Gudang dan Telekomunikasi</v>
          </cell>
          <cell r="H403" t="str">
            <v>PELABUHAN SWANGI INDAH</v>
          </cell>
          <cell r="T403">
            <v>29661050458</v>
          </cell>
          <cell r="W403">
            <v>1</v>
          </cell>
          <cell r="X403">
            <v>0</v>
          </cell>
          <cell r="Y403">
            <v>0</v>
          </cell>
          <cell r="AF403" t="str">
            <v>Simpang Empat</v>
          </cell>
        </row>
        <row r="404">
          <cell r="F404" t="str">
            <v>Transportasi, Gudang dan Telekomunikasi</v>
          </cell>
          <cell r="H404" t="str">
            <v>PERUSAHAAN PERSEROAN (PERSERO) PT PELABUHAN INDONESIA DISINGKAT PT PELABUHAN INDONESIA (PERSERO)</v>
          </cell>
          <cell r="T404">
            <v>0</v>
          </cell>
          <cell r="W404">
            <v>1</v>
          </cell>
          <cell r="X404">
            <v>0</v>
          </cell>
          <cell r="Y404">
            <v>0</v>
          </cell>
          <cell r="AF404" t="str">
            <v>Simpang Empat</v>
          </cell>
        </row>
        <row r="405">
          <cell r="F405" t="str">
            <v>Hotel dan Restoran</v>
          </cell>
          <cell r="H405" t="str">
            <v>RICHEESE KULINER INDONESIA</v>
          </cell>
          <cell r="T405">
            <v>0</v>
          </cell>
          <cell r="W405">
            <v>1</v>
          </cell>
          <cell r="X405">
            <v>0</v>
          </cell>
          <cell r="Y405">
            <v>0</v>
          </cell>
          <cell r="AF405" t="str">
            <v>Simpang Empat</v>
          </cell>
        </row>
        <row r="406">
          <cell r="F406" t="str">
            <v>Perdagangan dan Reparasi</v>
          </cell>
          <cell r="H406" t="str">
            <v>SINARNIAGA SEJAHTERA</v>
          </cell>
          <cell r="T406">
            <v>1488111164</v>
          </cell>
          <cell r="W406">
            <v>1</v>
          </cell>
          <cell r="X406">
            <v>0</v>
          </cell>
          <cell r="Y406">
            <v>0</v>
          </cell>
          <cell r="AF406" t="str">
            <v>Simpang Empat</v>
          </cell>
        </row>
        <row r="407">
          <cell r="F407" t="str">
            <v>Perdagangan dan Reparasi</v>
          </cell>
          <cell r="H407" t="str">
            <v>SUMBER ALFARIA TRIJAYA</v>
          </cell>
          <cell r="T407">
            <v>886927296</v>
          </cell>
          <cell r="W407">
            <v>1</v>
          </cell>
          <cell r="X407">
            <v>0</v>
          </cell>
          <cell r="Y407">
            <v>0</v>
          </cell>
          <cell r="AF407" t="str">
            <v>Simpang Empat</v>
          </cell>
        </row>
        <row r="408">
          <cell r="F408" t="str">
            <v>Perdagangan dan Reparasi</v>
          </cell>
          <cell r="H408" t="str">
            <v>SUMBER ALFARIA TRIJAYA</v>
          </cell>
          <cell r="T408">
            <v>887737824</v>
          </cell>
          <cell r="W408">
            <v>1</v>
          </cell>
          <cell r="X408">
            <v>0</v>
          </cell>
          <cell r="Y408">
            <v>0</v>
          </cell>
          <cell r="AF408" t="str">
            <v>Simpang Empat</v>
          </cell>
        </row>
        <row r="409">
          <cell r="F409" t="str">
            <v>Perdagangan dan Reparasi</v>
          </cell>
          <cell r="H409" t="str">
            <v>SUMBER ALFARIA TRIJAYA</v>
          </cell>
          <cell r="T409">
            <v>49172780</v>
          </cell>
          <cell r="W409">
            <v>1</v>
          </cell>
          <cell r="X409">
            <v>0</v>
          </cell>
          <cell r="Y409">
            <v>0</v>
          </cell>
          <cell r="AF409" t="str">
            <v>Simpang Empat</v>
          </cell>
        </row>
        <row r="410">
          <cell r="F410" t="str">
            <v>Perdagangan dan Reparasi</v>
          </cell>
          <cell r="H410" t="str">
            <v>SUMBER ALFARIA TRIJAYA</v>
          </cell>
          <cell r="T410">
            <v>71848060</v>
          </cell>
          <cell r="W410">
            <v>1</v>
          </cell>
          <cell r="X410">
            <v>0</v>
          </cell>
          <cell r="Y410">
            <v>0</v>
          </cell>
          <cell r="AF410" t="str">
            <v>Simpang Empat</v>
          </cell>
        </row>
        <row r="411">
          <cell r="F411" t="str">
            <v>Perdagangan dan Reparasi</v>
          </cell>
          <cell r="H411" t="str">
            <v>SUMBER ALFARIA TRIJAYA</v>
          </cell>
          <cell r="T411">
            <v>28886628</v>
          </cell>
          <cell r="W411">
            <v>1</v>
          </cell>
          <cell r="X411">
            <v>0</v>
          </cell>
          <cell r="Y411">
            <v>0</v>
          </cell>
          <cell r="AF411" t="str">
            <v>Simpang Empat</v>
          </cell>
        </row>
        <row r="412">
          <cell r="F412" t="str">
            <v>Perdagangan dan Reparasi</v>
          </cell>
          <cell r="H412" t="str">
            <v>SUMBER ALFARIA TRIJAYA</v>
          </cell>
          <cell r="T412">
            <v>747056879</v>
          </cell>
          <cell r="W412">
            <v>1</v>
          </cell>
          <cell r="X412">
            <v>0</v>
          </cell>
          <cell r="Y412">
            <v>0</v>
          </cell>
          <cell r="AF412" t="str">
            <v>Simpang Empat</v>
          </cell>
        </row>
        <row r="413">
          <cell r="F413" t="str">
            <v>Perdagangan dan Reparasi</v>
          </cell>
          <cell r="H413" t="str">
            <v>SUMBER ALFARIA TRIJAYA</v>
          </cell>
          <cell r="T413">
            <v>620880075</v>
          </cell>
          <cell r="W413">
            <v>1</v>
          </cell>
          <cell r="X413">
            <v>0</v>
          </cell>
          <cell r="Y413">
            <v>0</v>
          </cell>
          <cell r="AF413" t="str">
            <v>Simpang Empat</v>
          </cell>
        </row>
        <row r="414">
          <cell r="F414" t="str">
            <v>Perdagangan dan Reparasi</v>
          </cell>
          <cell r="H414" t="str">
            <v>SUMBER ALFARIA TRIJAYA</v>
          </cell>
          <cell r="T414">
            <v>118010397</v>
          </cell>
          <cell r="W414">
            <v>1</v>
          </cell>
          <cell r="X414">
            <v>0</v>
          </cell>
          <cell r="Y414">
            <v>0</v>
          </cell>
          <cell r="AF414" t="str">
            <v>Simpang Empat</v>
          </cell>
        </row>
        <row r="415">
          <cell r="F415" t="str">
            <v>Perdagangan dan Reparasi</v>
          </cell>
          <cell r="H415" t="str">
            <v>SUMBER ALFARIA TRIJAYA</v>
          </cell>
          <cell r="T415">
            <v>19022659</v>
          </cell>
          <cell r="W415">
            <v>1</v>
          </cell>
          <cell r="X415">
            <v>0</v>
          </cell>
          <cell r="Y415">
            <v>0</v>
          </cell>
          <cell r="AF415" t="str">
            <v>Simpang Empat</v>
          </cell>
        </row>
        <row r="416">
          <cell r="F416" t="str">
            <v>Perdagangan dan Reparasi</v>
          </cell>
          <cell r="H416" t="str">
            <v>SUMBER BERLIAN MOTORS</v>
          </cell>
          <cell r="T416">
            <v>1313360504</v>
          </cell>
          <cell r="W416">
            <v>1</v>
          </cell>
          <cell r="X416">
            <v>0</v>
          </cell>
          <cell r="Y416">
            <v>0</v>
          </cell>
          <cell r="AF416" t="str">
            <v>Simpang Empat</v>
          </cell>
        </row>
        <row r="417">
          <cell r="F417" t="str">
            <v>Perdagangan dan Reparasi</v>
          </cell>
          <cell r="H417" t="str">
            <v>SUMBER BERLIAN MOTORS</v>
          </cell>
          <cell r="T417">
            <v>82243109</v>
          </cell>
          <cell r="W417">
            <v>1</v>
          </cell>
          <cell r="X417">
            <v>0</v>
          </cell>
          <cell r="Y417">
            <v>0</v>
          </cell>
          <cell r="AF417" t="str">
            <v>Simpang Empat</v>
          </cell>
        </row>
        <row r="418">
          <cell r="F418" t="str">
            <v>Perdagangan dan Reparasi</v>
          </cell>
          <cell r="H418" t="str">
            <v>SUMBER BERLIAN MOTORS</v>
          </cell>
          <cell r="T418">
            <v>104943109</v>
          </cell>
          <cell r="W418">
            <v>1</v>
          </cell>
          <cell r="X418">
            <v>0</v>
          </cell>
          <cell r="Y418">
            <v>0</v>
          </cell>
          <cell r="AF418" t="str">
            <v>Simpang Empat</v>
          </cell>
        </row>
        <row r="419">
          <cell r="F419" t="str">
            <v>Konstruksi</v>
          </cell>
          <cell r="H419" t="str">
            <v>PROFESIONAL TELEKOMUNIKASI INDONESIA</v>
          </cell>
          <cell r="T419">
            <v>0</v>
          </cell>
          <cell r="W419">
            <v>1</v>
          </cell>
          <cell r="X419">
            <v>0</v>
          </cell>
          <cell r="Y419">
            <v>0</v>
          </cell>
          <cell r="AF419" t="str">
            <v>Sungai Loban</v>
          </cell>
        </row>
        <row r="420">
          <cell r="F420" t="str">
            <v>Transportasi, Gudang dan Telekomunikasi</v>
          </cell>
          <cell r="H420" t="str">
            <v>SALAM PACIFIC INDONESIA LINES</v>
          </cell>
          <cell r="T420">
            <v>0</v>
          </cell>
          <cell r="W420">
            <v>1</v>
          </cell>
          <cell r="X420">
            <v>0</v>
          </cell>
          <cell r="Y420">
            <v>0</v>
          </cell>
          <cell r="AF420" t="str">
            <v>Sungai Loban</v>
          </cell>
        </row>
        <row r="421">
          <cell r="F421" t="str">
            <v>Industri  Mesin, Elektronik, Instrumen Kedokteran, Peralatan Listrik, Presisi, Optik dan Jam</v>
          </cell>
          <cell r="H421" t="str">
            <v>SANGGAR SARANA BAJA</v>
          </cell>
          <cell r="T421">
            <v>25860138089</v>
          </cell>
          <cell r="W421">
            <v>1</v>
          </cell>
          <cell r="X421">
            <v>0</v>
          </cell>
          <cell r="Y421">
            <v>0</v>
          </cell>
          <cell r="AF421" t="str">
            <v>Sungai Loban</v>
          </cell>
        </row>
        <row r="422">
          <cell r="F422" t="str">
            <v>Transportasi, Gudang dan Telekomunikasi</v>
          </cell>
          <cell r="H422" t="str">
            <v>SEBAMBAN TERMINAL UMUM</v>
          </cell>
          <cell r="T422">
            <v>9044710127</v>
          </cell>
          <cell r="W422">
            <v>1</v>
          </cell>
          <cell r="X422">
            <v>0</v>
          </cell>
          <cell r="Y422">
            <v>0</v>
          </cell>
          <cell r="AF422" t="str">
            <v>Sungai Loban</v>
          </cell>
        </row>
        <row r="423">
          <cell r="F423" t="str">
            <v>Perdagangan dan Reparasi</v>
          </cell>
          <cell r="H423" t="str">
            <v>SEBAMBAN TERMINAL UMUM</v>
          </cell>
          <cell r="T423">
            <v>167651444197</v>
          </cell>
          <cell r="W423">
            <v>1</v>
          </cell>
          <cell r="X423">
            <v>0</v>
          </cell>
          <cell r="Y423">
            <v>0</v>
          </cell>
          <cell r="AF423" t="str">
            <v>Sungai Loban</v>
          </cell>
        </row>
        <row r="424">
          <cell r="F424" t="str">
            <v>Konstruksi</v>
          </cell>
          <cell r="H424" t="str">
            <v>SOLUSI TUNAS PRATAMA</v>
          </cell>
          <cell r="T424">
            <v>0</v>
          </cell>
          <cell r="W424">
            <v>1</v>
          </cell>
          <cell r="X424">
            <v>0</v>
          </cell>
          <cell r="Y424">
            <v>0</v>
          </cell>
          <cell r="AF424" t="str">
            <v>Sungai Loban</v>
          </cell>
        </row>
        <row r="425">
          <cell r="F425" t="str">
            <v>Konstruksi</v>
          </cell>
          <cell r="H425" t="str">
            <v>SOLUSI TUNAS PRATAMA</v>
          </cell>
          <cell r="T425">
            <v>0</v>
          </cell>
          <cell r="W425">
            <v>1</v>
          </cell>
          <cell r="X425">
            <v>0</v>
          </cell>
          <cell r="Y425">
            <v>0</v>
          </cell>
          <cell r="AF425" t="str">
            <v>Sungai Loban</v>
          </cell>
        </row>
        <row r="426">
          <cell r="F426" t="str">
            <v>Pertambangan</v>
          </cell>
          <cell r="H426" t="str">
            <v>BORNEO MITRA BARATAMA</v>
          </cell>
          <cell r="T426">
            <v>0</v>
          </cell>
          <cell r="W426">
            <v>1</v>
          </cell>
          <cell r="X426">
            <v>0</v>
          </cell>
          <cell r="Y426">
            <v>0</v>
          </cell>
          <cell r="AF426" t="str">
            <v>Teluk Kepayang</v>
          </cell>
        </row>
        <row r="427">
          <cell r="F427" t="str">
            <v>Pertambangan</v>
          </cell>
          <cell r="H427" t="str">
            <v>CIPTA KRIDATAMA</v>
          </cell>
          <cell r="T427">
            <v>14648036266</v>
          </cell>
          <cell r="W427">
            <v>1</v>
          </cell>
          <cell r="X427">
            <v>0</v>
          </cell>
          <cell r="Y427">
            <v>0</v>
          </cell>
          <cell r="AF427" t="str">
            <v>Teluk Kepayang</v>
          </cell>
        </row>
        <row r="428">
          <cell r="F428" t="str">
            <v>Pertambangan</v>
          </cell>
          <cell r="H428" t="str">
            <v>CIPTA KRIDATAMA</v>
          </cell>
          <cell r="T428">
            <v>0</v>
          </cell>
          <cell r="W428">
            <v>1</v>
          </cell>
          <cell r="X428">
            <v>0</v>
          </cell>
          <cell r="Y428">
            <v>0</v>
          </cell>
          <cell r="AF428" t="str">
            <v>Teluk Kepayang</v>
          </cell>
        </row>
        <row r="429">
          <cell r="F429" t="str">
            <v>Transportasi, Gudang dan Telekomunikasi</v>
          </cell>
          <cell r="H429" t="str">
            <v>CIPTA KRIDATAMA</v>
          </cell>
          <cell r="T429">
            <v>0</v>
          </cell>
          <cell r="W429">
            <v>1</v>
          </cell>
          <cell r="X429">
            <v>0</v>
          </cell>
          <cell r="Y429">
            <v>0</v>
          </cell>
          <cell r="AF429" t="str">
            <v>Teluk Kepayang</v>
          </cell>
        </row>
        <row r="430">
          <cell r="F430" t="str">
            <v>Konstruksi</v>
          </cell>
          <cell r="H430" t="str">
            <v>PROFESIONAL TELEKOMUNIKASI INDONESIA</v>
          </cell>
          <cell r="T430">
            <v>0</v>
          </cell>
          <cell r="W430">
            <v>1</v>
          </cell>
          <cell r="X430">
            <v>0</v>
          </cell>
          <cell r="Y430">
            <v>0</v>
          </cell>
          <cell r="AF430" t="str">
            <v>Teluk Kepayang</v>
          </cell>
        </row>
        <row r="431">
          <cell r="F431" t="str">
            <v>Perdagangan dan Reparasi</v>
          </cell>
          <cell r="H431" t="str">
            <v>PUTRA PERKASA ABADI</v>
          </cell>
          <cell r="T431">
            <v>836859374050</v>
          </cell>
          <cell r="W431">
            <v>1</v>
          </cell>
          <cell r="X431">
            <v>67</v>
          </cell>
          <cell r="Y431">
            <v>0</v>
          </cell>
          <cell r="AF431" t="str">
            <v>Teluk Kepayang</v>
          </cell>
        </row>
        <row r="432">
          <cell r="F432" t="str">
            <v>Jasa Lainnya</v>
          </cell>
          <cell r="H432" t="str">
            <v>PUTRA PERKASA ABADI</v>
          </cell>
          <cell r="T432">
            <v>425186598985</v>
          </cell>
          <cell r="W432">
            <v>1</v>
          </cell>
          <cell r="X432">
            <v>67</v>
          </cell>
          <cell r="Y432">
            <v>0</v>
          </cell>
          <cell r="AF432" t="str">
            <v>Teluk Kepayang</v>
          </cell>
        </row>
        <row r="433">
          <cell r="F433" t="str">
            <v>Pertambangan</v>
          </cell>
          <cell r="H433" t="str">
            <v>SEIA MITRA MANDIRI</v>
          </cell>
          <cell r="T433">
            <v>0</v>
          </cell>
          <cell r="W433">
            <v>1</v>
          </cell>
          <cell r="X433">
            <v>0</v>
          </cell>
          <cell r="Y433">
            <v>0</v>
          </cell>
          <cell r="AF433" t="str">
            <v>Teluk Kepayang</v>
          </cell>
        </row>
        <row r="434">
          <cell r="F434" t="str">
            <v>Konstruksi</v>
          </cell>
          <cell r="H434" t="str">
            <v>SOLUSI TUNAS PRATAMA</v>
          </cell>
          <cell r="T434">
            <v>0</v>
          </cell>
          <cell r="W434">
            <v>1</v>
          </cell>
          <cell r="X434">
            <v>0</v>
          </cell>
          <cell r="Y434">
            <v>0</v>
          </cell>
          <cell r="AF434" t="str">
            <v>Teluk Kepayang</v>
          </cell>
        </row>
        <row r="435">
          <cell r="F435" t="str">
            <v>Konstruksi</v>
          </cell>
          <cell r="H435" t="str">
            <v>TOWER BERSAMA</v>
          </cell>
          <cell r="T435">
            <v>755345741</v>
          </cell>
          <cell r="W435">
            <v>1</v>
          </cell>
          <cell r="X435">
            <v>0</v>
          </cell>
          <cell r="Y435">
            <v>0</v>
          </cell>
          <cell r="AF435" t="str">
            <v>Teluk Kepayang</v>
          </cell>
        </row>
        <row r="436">
          <cell r="F436" t="str">
            <v>Transportasi, Gudang dan Telekomunikasi</v>
          </cell>
          <cell r="H436" t="str">
            <v>SERASI SHIPPING INDONESIA</v>
          </cell>
          <cell r="T436">
            <v>9009386</v>
          </cell>
          <cell r="W436">
            <v>1</v>
          </cell>
          <cell r="X436">
            <v>0</v>
          </cell>
          <cell r="Y43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3386-0A76-408E-849F-B3FADAF2B6A9}">
  <sheetPr>
    <tabColor theme="9" tint="-0.499984740745262"/>
  </sheetPr>
  <dimension ref="A3:B6"/>
  <sheetViews>
    <sheetView workbookViewId="0">
      <selection activeCell="B5" sqref="B5"/>
    </sheetView>
  </sheetViews>
  <sheetFormatPr defaultRowHeight="14.5" x14ac:dyDescent="0.35"/>
  <cols>
    <col min="1" max="1" width="13.1796875" customWidth="1"/>
    <col min="2" max="2" width="13.90625" customWidth="1"/>
  </cols>
  <sheetData>
    <row r="3" spans="1:2" x14ac:dyDescent="0.35">
      <c r="A3" s="42" t="s">
        <v>171</v>
      </c>
      <c r="B3" s="42" t="s">
        <v>172</v>
      </c>
    </row>
    <row r="4" spans="1:2" x14ac:dyDescent="0.35">
      <c r="A4" s="1" t="s">
        <v>169</v>
      </c>
      <c r="B4" s="39">
        <f>SUM([1]PMDN!$W$2:$W$436)</f>
        <v>435</v>
      </c>
    </row>
    <row r="5" spans="1:2" x14ac:dyDescent="0.35">
      <c r="A5" s="1" t="s">
        <v>170</v>
      </c>
      <c r="B5" s="39">
        <f>SUM([1]PMA!$W$2:$W$21)</f>
        <v>20</v>
      </c>
    </row>
    <row r="6" spans="1:2" x14ac:dyDescent="0.35">
      <c r="B6">
        <f>SUM(B4:B5)</f>
        <v>455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AEF5-EFE0-4B8A-A466-945BDB899DBB}">
  <sheetPr>
    <tabColor rgb="FFFF0000"/>
  </sheetPr>
  <dimension ref="A1:C50"/>
  <sheetViews>
    <sheetView zoomScale="63" workbookViewId="0">
      <selection activeCell="E11" sqref="E11"/>
    </sheetView>
  </sheetViews>
  <sheetFormatPr defaultRowHeight="14.5" x14ac:dyDescent="0.35"/>
  <cols>
    <col min="1" max="1" width="13.6328125" bestFit="1" customWidth="1"/>
    <col min="2" max="2" width="22.6328125" customWidth="1"/>
    <col min="3" max="3" width="9.1796875" bestFit="1" customWidth="1"/>
  </cols>
  <sheetData>
    <row r="1" spans="1:2" x14ac:dyDescent="0.35">
      <c r="A1" t="s">
        <v>139</v>
      </c>
    </row>
    <row r="2" spans="1:2" x14ac:dyDescent="0.35">
      <c r="A2" s="41" t="s">
        <v>13</v>
      </c>
      <c r="B2" s="41" t="s">
        <v>14</v>
      </c>
    </row>
    <row r="3" spans="1:2" x14ac:dyDescent="0.35">
      <c r="A3" s="1" t="s">
        <v>0</v>
      </c>
      <c r="B3" s="1">
        <f>COUNTIF([1]PMDN!$AF:$AF,"Kusan Hulu")</f>
        <v>4</v>
      </c>
    </row>
    <row r="4" spans="1:2" x14ac:dyDescent="0.35">
      <c r="A4" s="1" t="s">
        <v>2</v>
      </c>
      <c r="B4" s="1">
        <f>COUNTIF([1]PMDN!$AF:$AF,"Simpang Empat")</f>
        <v>160</v>
      </c>
    </row>
    <row r="5" spans="1:2" x14ac:dyDescent="0.35">
      <c r="A5" s="1" t="s">
        <v>3</v>
      </c>
      <c r="B5" s="1">
        <f>COUNTIF([1]PMDN!$AF:$AF,"Sungai Loban")</f>
        <v>7</v>
      </c>
    </row>
    <row r="6" spans="1:2" x14ac:dyDescent="0.35">
      <c r="A6" s="1" t="s">
        <v>4</v>
      </c>
      <c r="B6" s="1">
        <f>COUNTIF([1]PMDN!$AF:$AF,"Angsana")</f>
        <v>79</v>
      </c>
    </row>
    <row r="7" spans="1:2" x14ac:dyDescent="0.35">
      <c r="A7" s="1" t="s">
        <v>5</v>
      </c>
      <c r="B7" s="1">
        <f>COUNTIF([1]PMDN!$AF:$AF,"Satui")</f>
        <v>55</v>
      </c>
    </row>
    <row r="8" spans="1:2" x14ac:dyDescent="0.35">
      <c r="A8" s="1" t="s">
        <v>6</v>
      </c>
      <c r="B8" s="1">
        <f>COUNTIF([1]PMDN!$AF:$AF,"Kusan Tengah")</f>
        <v>6</v>
      </c>
    </row>
    <row r="9" spans="1:2" x14ac:dyDescent="0.35">
      <c r="A9" s="1" t="s">
        <v>7</v>
      </c>
      <c r="B9" s="1">
        <f>COUNTIF([1]PMDN!$AF:$AF,"Karang Bintang")</f>
        <v>4</v>
      </c>
    </row>
    <row r="10" spans="1:2" x14ac:dyDescent="0.35">
      <c r="A10" s="1" t="s">
        <v>8</v>
      </c>
      <c r="B10" s="1">
        <f>COUNTIF([1]PMDN!$AF:$AF,"Teluk Kepayang")</f>
        <v>10</v>
      </c>
    </row>
    <row r="11" spans="1:2" x14ac:dyDescent="0.35">
      <c r="A11" s="1" t="s">
        <v>9</v>
      </c>
      <c r="B11" s="1">
        <f>COUNTIF([1]PMDN!$AF:$AF,"Kusan Hilir")</f>
        <v>15</v>
      </c>
    </row>
    <row r="12" spans="1:2" x14ac:dyDescent="0.35">
      <c r="A12" s="1" t="s">
        <v>10</v>
      </c>
      <c r="B12" s="1">
        <f>COUNTIF([1]PMDN!$AF:$AF,"Batu Licin")</f>
        <v>78</v>
      </c>
    </row>
    <row r="13" spans="1:2" x14ac:dyDescent="0.35">
      <c r="A13" s="1" t="s">
        <v>11</v>
      </c>
      <c r="B13" s="1">
        <f>COUNTIF([1]PMDN!$AF:$AF,"Mantewe")</f>
        <v>15</v>
      </c>
    </row>
    <row r="14" spans="1:2" x14ac:dyDescent="0.35">
      <c r="A14" s="1" t="s">
        <v>12</v>
      </c>
      <c r="B14" s="1">
        <f>COUNTIF([1]PMDN!$AF:$AF,"Kuranji")</f>
        <v>0</v>
      </c>
    </row>
    <row r="15" spans="1:2" x14ac:dyDescent="0.35">
      <c r="B15">
        <f>SUM(B3:B14)</f>
        <v>433</v>
      </c>
    </row>
    <row r="18" spans="1:3" x14ac:dyDescent="0.35">
      <c r="A18" t="s">
        <v>180</v>
      </c>
    </row>
    <row r="19" spans="1:3" x14ac:dyDescent="0.35">
      <c r="A19" s="41" t="s">
        <v>13</v>
      </c>
      <c r="B19" s="41" t="s">
        <v>185</v>
      </c>
      <c r="C19" s="41" t="s">
        <v>186</v>
      </c>
    </row>
    <row r="20" spans="1:3" x14ac:dyDescent="0.35">
      <c r="A20" s="1" t="s">
        <v>4</v>
      </c>
      <c r="B20" s="1">
        <f>COUNTIF([1]PMDN!$AF:$AF,"Angsana")</f>
        <v>79</v>
      </c>
      <c r="C20" s="1">
        <f>RANK(B20,$B$20:$B$31,0) + COUNTIF($B$20:B20,B20) - 1</f>
        <v>2</v>
      </c>
    </row>
    <row r="21" spans="1:3" x14ac:dyDescent="0.35">
      <c r="A21" s="1" t="s">
        <v>10</v>
      </c>
      <c r="B21" s="1">
        <f>COUNTIF([1]PMDN!$AF:$AF,"Batu Licin")</f>
        <v>78</v>
      </c>
      <c r="C21" s="1">
        <f>RANK(B21,$B$20:$B$31,0) + COUNTIF($B$20:B21,B21) - 1</f>
        <v>3</v>
      </c>
    </row>
    <row r="22" spans="1:3" x14ac:dyDescent="0.35">
      <c r="A22" s="1" t="s">
        <v>7</v>
      </c>
      <c r="B22" s="1">
        <f>COUNTIF([1]PMDN!$AF:$AF,"Karang Bintang")</f>
        <v>4</v>
      </c>
      <c r="C22" s="1">
        <f>RANK(B22,$B$20:$B$31,0) + COUNTIF($B$20:B22,B22) - 1</f>
        <v>10</v>
      </c>
    </row>
    <row r="23" spans="1:3" x14ac:dyDescent="0.35">
      <c r="A23" s="1" t="s">
        <v>12</v>
      </c>
      <c r="B23" s="1">
        <f>COUNTIF([1]PMDN!$AF:$AF,"Kuranji")</f>
        <v>0</v>
      </c>
      <c r="C23" s="1">
        <f>RANK(B23,$B$20:$B$31,0) + COUNTIF($B$20:B23,B23) - 1</f>
        <v>12</v>
      </c>
    </row>
    <row r="24" spans="1:3" x14ac:dyDescent="0.35">
      <c r="A24" s="1" t="s">
        <v>9</v>
      </c>
      <c r="B24" s="1">
        <f>COUNTIF([1]PMDN!$AF:$AF,"Kusan Hilir")</f>
        <v>15</v>
      </c>
      <c r="C24" s="1">
        <f>RANK(B24,$B$20:$B$31,0) + COUNTIF($B$20:B24,B24) - 1</f>
        <v>5</v>
      </c>
    </row>
    <row r="25" spans="1:3" x14ac:dyDescent="0.35">
      <c r="A25" s="1" t="s">
        <v>0</v>
      </c>
      <c r="B25" s="1">
        <f>COUNTIF([1]PMDN!$AF:$AF,"Kusan Hulu")</f>
        <v>4</v>
      </c>
      <c r="C25" s="1">
        <f>RANK(B25,$B$20:$B$31,0) + COUNTIF($B$20:B25,B25) - 1</f>
        <v>11</v>
      </c>
    </row>
    <row r="26" spans="1:3" x14ac:dyDescent="0.35">
      <c r="A26" s="1" t="s">
        <v>6</v>
      </c>
      <c r="B26" s="1">
        <f>COUNTIF([1]PMDN!$AF:$AF,"Kusan Tengah")</f>
        <v>6</v>
      </c>
      <c r="C26" s="1">
        <f>RANK(B26,$B$20:$B$31,0) + COUNTIF($B$20:B26,B26) - 1</f>
        <v>9</v>
      </c>
    </row>
    <row r="27" spans="1:3" x14ac:dyDescent="0.35">
      <c r="A27" s="1" t="s">
        <v>11</v>
      </c>
      <c r="B27" s="1">
        <f>COUNTIF([1]PMDN!$AF:$AF,"Mantewe")</f>
        <v>15</v>
      </c>
      <c r="C27" s="1">
        <f>RANK(B27,$B$20:$B$31,0) + COUNTIF($B$20:B27,B27) - 1</f>
        <v>6</v>
      </c>
    </row>
    <row r="28" spans="1:3" x14ac:dyDescent="0.35">
      <c r="A28" s="1" t="s">
        <v>5</v>
      </c>
      <c r="B28" s="1">
        <f>COUNTIF([1]PMDN!$AF:$AF,"Satui")</f>
        <v>55</v>
      </c>
      <c r="C28" s="1">
        <f>RANK(B28,$B$20:$B$31,0) + COUNTIF($B$20:B28,B28) - 1</f>
        <v>4</v>
      </c>
    </row>
    <row r="29" spans="1:3" x14ac:dyDescent="0.35">
      <c r="A29" s="1" t="s">
        <v>2</v>
      </c>
      <c r="B29" s="1">
        <f>COUNTIF([1]PMDN!$AF:$AF,"Simpang Empat")</f>
        <v>160</v>
      </c>
      <c r="C29" s="1">
        <f>RANK(B29,$B$20:$B$31,0) + COUNTIF($B$20:B29,B29) - 1</f>
        <v>1</v>
      </c>
    </row>
    <row r="30" spans="1:3" x14ac:dyDescent="0.35">
      <c r="A30" s="1" t="s">
        <v>3</v>
      </c>
      <c r="B30" s="1">
        <f>COUNTIF([1]PMDN!$AF:$AF,"Sungai Loban")</f>
        <v>7</v>
      </c>
      <c r="C30" s="1">
        <f>RANK(B30,$B$20:$B$31,0) + COUNTIF($B$20:B30,B30) - 1</f>
        <v>8</v>
      </c>
    </row>
    <row r="31" spans="1:3" x14ac:dyDescent="0.35">
      <c r="A31" s="1" t="s">
        <v>8</v>
      </c>
      <c r="B31" s="1">
        <f>COUNTIF([1]PMDN!$AF:$AF,"Teluk Kepayang")</f>
        <v>10</v>
      </c>
      <c r="C31" s="1">
        <f>RANK(B31,$B$20:$B$31,0) + COUNTIF($B$20:B31,B31) - 1</f>
        <v>7</v>
      </c>
    </row>
    <row r="32" spans="1:3" x14ac:dyDescent="0.35">
      <c r="A32" s="1"/>
      <c r="B32" s="1">
        <f>SUM(B20:B31)</f>
        <v>433</v>
      </c>
      <c r="C32" s="1"/>
    </row>
    <row r="35" spans="1:3" x14ac:dyDescent="0.35">
      <c r="A35" t="s">
        <v>186</v>
      </c>
    </row>
    <row r="36" spans="1:3" x14ac:dyDescent="0.35">
      <c r="A36" s="41" t="s">
        <v>13</v>
      </c>
      <c r="B36" s="41" t="s">
        <v>185</v>
      </c>
      <c r="C36" s="41" t="s">
        <v>186</v>
      </c>
    </row>
    <row r="37" spans="1:3" x14ac:dyDescent="0.35">
      <c r="A37" s="1"/>
      <c r="B37" s="1"/>
      <c r="C37" s="1"/>
    </row>
    <row r="38" spans="1:3" x14ac:dyDescent="0.35">
      <c r="A38" s="1" t="s">
        <v>2</v>
      </c>
      <c r="B38" s="1">
        <f>COUNTIF([1]PMDN!$AF:$AF,"Simpang Empat")</f>
        <v>160</v>
      </c>
      <c r="C38" s="1">
        <v>1</v>
      </c>
    </row>
    <row r="39" spans="1:3" x14ac:dyDescent="0.35">
      <c r="A39" s="1" t="s">
        <v>4</v>
      </c>
      <c r="B39" s="1">
        <f>COUNTIF([1]PMDN!$AF:$AF,"Angsana")</f>
        <v>79</v>
      </c>
      <c r="C39" s="1">
        <v>2</v>
      </c>
    </row>
    <row r="40" spans="1:3" x14ac:dyDescent="0.35">
      <c r="A40" s="1" t="s">
        <v>10</v>
      </c>
      <c r="B40" s="1">
        <f>COUNTIF([1]PMDN!$AF:$AF,"Batu Licin")</f>
        <v>78</v>
      </c>
      <c r="C40" s="1">
        <v>3</v>
      </c>
    </row>
    <row r="41" spans="1:3" x14ac:dyDescent="0.35">
      <c r="A41" s="1" t="s">
        <v>5</v>
      </c>
      <c r="B41" s="1">
        <f>COUNTIF([1]PMDN!$AF:$AF,"Satui")</f>
        <v>55</v>
      </c>
      <c r="C41" s="1">
        <v>4</v>
      </c>
    </row>
    <row r="42" spans="1:3" x14ac:dyDescent="0.35">
      <c r="A42" s="1" t="s">
        <v>9</v>
      </c>
      <c r="B42" s="1">
        <f>COUNTIF([1]PMDN!$AF:$AF,"Kusan Hilir")</f>
        <v>15</v>
      </c>
      <c r="C42" s="1">
        <v>5</v>
      </c>
    </row>
    <row r="43" spans="1:3" x14ac:dyDescent="0.35">
      <c r="A43" s="1" t="s">
        <v>11</v>
      </c>
      <c r="B43" s="1">
        <f>COUNTIF([1]PMDN!$AF:$AF,"Mantewe")</f>
        <v>15</v>
      </c>
      <c r="C43" s="1">
        <v>6</v>
      </c>
    </row>
    <row r="44" spans="1:3" x14ac:dyDescent="0.35">
      <c r="A44" s="1" t="s">
        <v>8</v>
      </c>
      <c r="B44" s="1">
        <f>COUNTIF([1]PMDN!$AF:$AF,"Teluk Kepayang")</f>
        <v>10</v>
      </c>
      <c r="C44" s="1">
        <v>7</v>
      </c>
    </row>
    <row r="45" spans="1:3" x14ac:dyDescent="0.35">
      <c r="A45" s="1" t="s">
        <v>3</v>
      </c>
      <c r="B45" s="1">
        <f>COUNTIF([1]PMDN!$AF:$AF,"Sungai Loban")</f>
        <v>7</v>
      </c>
      <c r="C45" s="1">
        <v>8</v>
      </c>
    </row>
    <row r="46" spans="1:3" x14ac:dyDescent="0.35">
      <c r="A46" s="1" t="s">
        <v>6</v>
      </c>
      <c r="B46" s="1">
        <f>COUNTIF([1]PMDN!$AF:$AF,"Kusan Tengah")</f>
        <v>6</v>
      </c>
      <c r="C46" s="1">
        <v>9</v>
      </c>
    </row>
    <row r="47" spans="1:3" x14ac:dyDescent="0.35">
      <c r="A47" s="1" t="s">
        <v>7</v>
      </c>
      <c r="B47" s="1">
        <f>COUNTIF([1]PMDN!$AF:$AF,"Karang Bintang")</f>
        <v>4</v>
      </c>
      <c r="C47" s="1">
        <v>10</v>
      </c>
    </row>
    <row r="48" spans="1:3" x14ac:dyDescent="0.35">
      <c r="A48" s="1" t="s">
        <v>0</v>
      </c>
      <c r="B48" s="1">
        <f>COUNTIF([1]PMDN!$AF:$AF,"Kusan Hulu")</f>
        <v>4</v>
      </c>
      <c r="C48" s="1">
        <v>11</v>
      </c>
    </row>
    <row r="49" spans="1:3" x14ac:dyDescent="0.35">
      <c r="A49" s="1" t="s">
        <v>12</v>
      </c>
      <c r="B49" s="1">
        <f>COUNTIF([1]PMDN!$AF:$AF,"Kuranji")</f>
        <v>0</v>
      </c>
      <c r="C49" s="1">
        <v>12</v>
      </c>
    </row>
    <row r="50" spans="1:3" x14ac:dyDescent="0.35">
      <c r="B50">
        <f>SUM(B38:B49)</f>
        <v>433</v>
      </c>
    </row>
  </sheetData>
  <sortState xmlns:xlrd2="http://schemas.microsoft.com/office/spreadsheetml/2017/richdata2" ref="A37:C49">
    <sortCondition descending="1" ref="B36"/>
  </sortState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FC66-C3EB-49DA-BB3B-E46790FD9898}">
  <sheetPr>
    <tabColor rgb="FFFF0000"/>
  </sheetPr>
  <dimension ref="A1:D49"/>
  <sheetViews>
    <sheetView topLeftCell="A20" zoomScale="83" workbookViewId="0">
      <selection activeCell="B30" sqref="B30"/>
    </sheetView>
  </sheetViews>
  <sheetFormatPr defaultRowHeight="14.5" x14ac:dyDescent="0.35"/>
  <cols>
    <col min="1" max="1" width="16.08984375" customWidth="1"/>
    <col min="2" max="2" width="15.36328125" customWidth="1"/>
  </cols>
  <sheetData>
    <row r="1" spans="1:2" ht="25.75" customHeight="1" x14ac:dyDescent="0.35">
      <c r="A1" s="2" t="s">
        <v>217</v>
      </c>
    </row>
    <row r="2" spans="1:2" x14ac:dyDescent="0.35">
      <c r="A2" s="40" t="s">
        <v>13</v>
      </c>
      <c r="B2" s="40" t="s">
        <v>14</v>
      </c>
    </row>
    <row r="3" spans="1:2" x14ac:dyDescent="0.35">
      <c r="A3" s="1" t="s">
        <v>2</v>
      </c>
      <c r="B3" s="1">
        <f>COUNTIF([1]PMA!$AF:$AF,"Simpang Empat")</f>
        <v>8</v>
      </c>
    </row>
    <row r="4" spans="1:2" x14ac:dyDescent="0.35">
      <c r="A4" s="1" t="s">
        <v>4</v>
      </c>
      <c r="B4" s="1">
        <f>COUNTIF([1]PMA!$AF:$AF,"Angsana")</f>
        <v>2</v>
      </c>
    </row>
    <row r="5" spans="1:2" x14ac:dyDescent="0.35">
      <c r="A5" s="1" t="s">
        <v>3</v>
      </c>
      <c r="B5" s="1">
        <f>COUNTIF([1]PMA!$AF:$AF,"Sungai Loban")</f>
        <v>0</v>
      </c>
    </row>
    <row r="6" spans="1:2" x14ac:dyDescent="0.35">
      <c r="A6" s="1" t="s">
        <v>1</v>
      </c>
      <c r="B6" s="1">
        <f>COUNTIF([1]PMA!$AF:$AF,"Batu Licin")</f>
        <v>2</v>
      </c>
    </row>
    <row r="7" spans="1:2" x14ac:dyDescent="0.35">
      <c r="A7" s="1" t="s">
        <v>6</v>
      </c>
      <c r="B7" s="1">
        <f>COUNTIF([1]PMA!$AF:$AF,"Kusan Tengah")</f>
        <v>0</v>
      </c>
    </row>
    <row r="8" spans="1:2" x14ac:dyDescent="0.35">
      <c r="A8" s="1" t="s">
        <v>5</v>
      </c>
      <c r="B8" s="1">
        <f>COUNTIF([1]PMA!$AF:$AF,"Satui")</f>
        <v>3</v>
      </c>
    </row>
    <row r="9" spans="1:2" x14ac:dyDescent="0.35">
      <c r="A9" s="1" t="s">
        <v>8</v>
      </c>
      <c r="B9" s="1">
        <f>COUNTIF([1]PMA!$AF:$AF,"Teluk Kepayang")</f>
        <v>1</v>
      </c>
    </row>
    <row r="10" spans="1:2" x14ac:dyDescent="0.35">
      <c r="A10" s="1" t="s">
        <v>11</v>
      </c>
      <c r="B10" s="1">
        <f>COUNTIF([1]PMA!$AF:$AF,"Mantewe")</f>
        <v>3</v>
      </c>
    </row>
    <row r="11" spans="1:2" x14ac:dyDescent="0.35">
      <c r="A11" s="51" t="s">
        <v>216</v>
      </c>
      <c r="B11" s="51">
        <f>SUM(B3:B10)</f>
        <v>19</v>
      </c>
    </row>
    <row r="13" spans="1:2" x14ac:dyDescent="0.35">
      <c r="A13" s="2" t="s">
        <v>217</v>
      </c>
    </row>
    <row r="14" spans="1:2" x14ac:dyDescent="0.35">
      <c r="A14" s="40" t="s">
        <v>13</v>
      </c>
      <c r="B14" s="40" t="s">
        <v>14</v>
      </c>
    </row>
    <row r="15" spans="1:2" x14ac:dyDescent="0.35">
      <c r="A15" s="1" t="s">
        <v>4</v>
      </c>
      <c r="B15" s="1">
        <f>COUNTIF([1]PMA!$AF:$AF,"Angsana")</f>
        <v>2</v>
      </c>
    </row>
    <row r="16" spans="1:2" x14ac:dyDescent="0.35">
      <c r="A16" s="1" t="s">
        <v>1</v>
      </c>
      <c r="B16" s="1">
        <f>COUNTIF([1]PMA!$AF:$AF,"Batu Licin")</f>
        <v>2</v>
      </c>
    </row>
    <row r="17" spans="1:3" x14ac:dyDescent="0.35">
      <c r="A17" s="1" t="s">
        <v>11</v>
      </c>
      <c r="B17" s="1">
        <f>COUNTIF([1]PMA!$AF:$AF,"Mantewe")</f>
        <v>3</v>
      </c>
    </row>
    <row r="18" spans="1:3" x14ac:dyDescent="0.35">
      <c r="A18" s="1" t="s">
        <v>5</v>
      </c>
      <c r="B18" s="1">
        <f>COUNTIF([1]PMA!$AF:$AF,"Satui")</f>
        <v>3</v>
      </c>
    </row>
    <row r="19" spans="1:3" x14ac:dyDescent="0.35">
      <c r="A19" s="1" t="s">
        <v>2</v>
      </c>
      <c r="B19" s="1">
        <f>COUNTIF([1]PMA!$AF:$AF,"Simpang Empat")</f>
        <v>8</v>
      </c>
    </row>
    <row r="20" spans="1:3" x14ac:dyDescent="0.35">
      <c r="A20" s="1" t="s">
        <v>3</v>
      </c>
      <c r="B20" s="1">
        <f>COUNTIF([1]PMA!$AF:$AF,"Sungai Loban")</f>
        <v>0</v>
      </c>
    </row>
    <row r="21" spans="1:3" x14ac:dyDescent="0.35">
      <c r="A21" s="1" t="s">
        <v>8</v>
      </c>
      <c r="B21" s="1">
        <f>COUNTIF([1]PMA!$AF:$AF,"Teluk Kepayang")</f>
        <v>1</v>
      </c>
    </row>
    <row r="22" spans="1:3" x14ac:dyDescent="0.35">
      <c r="A22" s="51" t="s">
        <v>216</v>
      </c>
      <c r="B22" s="51">
        <f>SUM(B15:B21)</f>
        <v>19</v>
      </c>
    </row>
    <row r="24" spans="1:3" x14ac:dyDescent="0.35">
      <c r="A24" t="s">
        <v>186</v>
      </c>
    </row>
    <row r="25" spans="1:3" x14ac:dyDescent="0.35">
      <c r="A25" s="40" t="s">
        <v>13</v>
      </c>
      <c r="B25" s="40" t="s">
        <v>14</v>
      </c>
    </row>
    <row r="26" spans="1:3" x14ac:dyDescent="0.35">
      <c r="A26" s="1" t="s">
        <v>2</v>
      </c>
      <c r="B26" s="1">
        <f>COUNTIF([1]PMA!$AF:$AF,"Simpang Empat")</f>
        <v>8</v>
      </c>
      <c r="C26">
        <f>RANK(B26,$B$26:$B$32,0) + COUNTIF($B$26:B26,B26) - 1</f>
        <v>1</v>
      </c>
    </row>
    <row r="27" spans="1:3" x14ac:dyDescent="0.35">
      <c r="A27" s="1" t="s">
        <v>11</v>
      </c>
      <c r="B27" s="1">
        <f>COUNTIF([1]PMA!$AF:$AF,"Mantewe")</f>
        <v>3</v>
      </c>
      <c r="C27">
        <f>RANK(B27,$B$26:$B$32,0) + COUNTIF($B$26:B27,B27) - 1</f>
        <v>2</v>
      </c>
    </row>
    <row r="28" spans="1:3" x14ac:dyDescent="0.35">
      <c r="A28" s="1" t="s">
        <v>5</v>
      </c>
      <c r="B28" s="1">
        <f>COUNTIF([1]PMA!$AF:$AF,"Satui")</f>
        <v>3</v>
      </c>
      <c r="C28">
        <f>RANK(B28,$B$26:$B$32,0) + COUNTIF($B$26:B28,B28) - 1</f>
        <v>3</v>
      </c>
    </row>
    <row r="29" spans="1:3" x14ac:dyDescent="0.35">
      <c r="A29" s="1" t="s">
        <v>4</v>
      </c>
      <c r="B29" s="1">
        <f>COUNTIF([1]PMA!$AF:$AF,"Angsana")</f>
        <v>2</v>
      </c>
      <c r="C29">
        <f>RANK(B29,$B$26:$B$32,0) + COUNTIF($B$26:B29,B29) - 1</f>
        <v>4</v>
      </c>
    </row>
    <row r="30" spans="1:3" x14ac:dyDescent="0.35">
      <c r="A30" s="1" t="s">
        <v>1</v>
      </c>
      <c r="B30" s="1">
        <f>COUNTIF([1]PMA!$AF:$AF,"Batu Licin")</f>
        <v>2</v>
      </c>
      <c r="C30">
        <f>RANK(B30,$B$26:$B$32,0) + COUNTIF($B$26:B30,B30) - 1</f>
        <v>5</v>
      </c>
    </row>
    <row r="31" spans="1:3" x14ac:dyDescent="0.35">
      <c r="A31" s="1" t="s">
        <v>8</v>
      </c>
      <c r="B31" s="1">
        <f>COUNTIF([1]PMA!$AF:$AF,"Teluk Kepayang")</f>
        <v>1</v>
      </c>
      <c r="C31">
        <f>RANK(B31,$B$26:$B$32,0) + COUNTIF($B$26:B31,B31) - 1</f>
        <v>6</v>
      </c>
    </row>
    <row r="32" spans="1:3" x14ac:dyDescent="0.35">
      <c r="A32" s="1" t="s">
        <v>3</v>
      </c>
      <c r="B32" s="1">
        <f>COUNTIF([1]PMA!$AF:$AF,"Sungai Loban")</f>
        <v>0</v>
      </c>
      <c r="C32">
        <f>RANK(B32,$B$26:$B$32,0) + COUNTIF($B$26:B32,B32) - 1</f>
        <v>7</v>
      </c>
    </row>
    <row r="35" spans="1:4" x14ac:dyDescent="0.35">
      <c r="A35" t="s">
        <v>182</v>
      </c>
    </row>
    <row r="36" spans="1:4" x14ac:dyDescent="0.35">
      <c r="A36" s="57" t="s">
        <v>13</v>
      </c>
      <c r="B36" s="57" t="s">
        <v>185</v>
      </c>
      <c r="C36" s="57" t="s">
        <v>169</v>
      </c>
      <c r="D36" s="57" t="s">
        <v>170</v>
      </c>
    </row>
    <row r="37" spans="1:4" x14ac:dyDescent="0.35">
      <c r="A37" s="53" t="s">
        <v>4</v>
      </c>
      <c r="B37" s="53">
        <f>C37+D37</f>
        <v>81</v>
      </c>
      <c r="C37" s="1">
        <f>COUNTIF([1]PMDN!$AF:$AF,"Angsana")</f>
        <v>79</v>
      </c>
      <c r="D37" s="1">
        <f>COUNTIF([1]PMA!$AF:$AF,"Angsana")</f>
        <v>2</v>
      </c>
    </row>
    <row r="38" spans="1:4" x14ac:dyDescent="0.35">
      <c r="A38" s="1" t="s">
        <v>10</v>
      </c>
      <c r="B38" s="1">
        <f t="shared" ref="B38:B48" si="0">C38+D38</f>
        <v>80</v>
      </c>
      <c r="C38" s="1">
        <f>COUNTIF([1]PMDN!$AF:$AF,"Batu Licin")</f>
        <v>78</v>
      </c>
      <c r="D38" s="1">
        <f>COUNTIF([1]PMA!$AF:$AF,"Batu Licin")</f>
        <v>2</v>
      </c>
    </row>
    <row r="39" spans="1:4" x14ac:dyDescent="0.35">
      <c r="A39" s="1" t="s">
        <v>7</v>
      </c>
      <c r="B39" s="1">
        <f t="shared" si="0"/>
        <v>4</v>
      </c>
      <c r="C39" s="1">
        <f>COUNTIF([1]PMDN!$AF:$AF,"Karang Bintang")</f>
        <v>4</v>
      </c>
      <c r="D39" s="1">
        <f>COUNTIF([1]PMA!$AF:$AF,"Karang Bintang")</f>
        <v>0</v>
      </c>
    </row>
    <row r="40" spans="1:4" x14ac:dyDescent="0.35">
      <c r="A40" s="1" t="s">
        <v>12</v>
      </c>
      <c r="B40" s="1">
        <f t="shared" si="0"/>
        <v>0</v>
      </c>
      <c r="C40" s="1">
        <f>COUNTIF([1]PMDN!$AF:$AF,"Kuranji")</f>
        <v>0</v>
      </c>
      <c r="D40" s="1">
        <f>COUNTIF([1]PMA!$AF:$AF,"Kuranji")</f>
        <v>0</v>
      </c>
    </row>
    <row r="41" spans="1:4" x14ac:dyDescent="0.35">
      <c r="A41" s="1" t="s">
        <v>9</v>
      </c>
      <c r="B41" s="1">
        <f t="shared" si="0"/>
        <v>15</v>
      </c>
      <c r="C41" s="1">
        <f>COUNTIF([1]PMDN!$AF:$AF,"Kusan Hilir")</f>
        <v>15</v>
      </c>
      <c r="D41" s="1">
        <f>COUNTIF([1]PMA!$AF:$AF,"Kusan Hilir")</f>
        <v>0</v>
      </c>
    </row>
    <row r="42" spans="1:4" x14ac:dyDescent="0.35">
      <c r="A42" s="1" t="s">
        <v>0</v>
      </c>
      <c r="B42" s="1">
        <f t="shared" si="0"/>
        <v>4</v>
      </c>
      <c r="C42" s="1">
        <f>COUNTIF([1]PMDN!$AF:$AF,"Kusan Hulu")</f>
        <v>4</v>
      </c>
      <c r="D42" s="1">
        <f>COUNTIF([1]PMA!$AF:$AF,"Kusan Hulu")</f>
        <v>0</v>
      </c>
    </row>
    <row r="43" spans="1:4" x14ac:dyDescent="0.35">
      <c r="A43" s="1" t="s">
        <v>6</v>
      </c>
      <c r="B43" s="1">
        <f t="shared" si="0"/>
        <v>6</v>
      </c>
      <c r="C43" s="1">
        <f>COUNTIF([1]PMDN!$AF:$AF,"Kusan Tengah")</f>
        <v>6</v>
      </c>
      <c r="D43" s="1">
        <f>COUNTIF([1]PMA!$AF:$AF,"Kusan Tengah")</f>
        <v>0</v>
      </c>
    </row>
    <row r="44" spans="1:4" x14ac:dyDescent="0.35">
      <c r="A44" s="1" t="s">
        <v>11</v>
      </c>
      <c r="B44" s="1">
        <f t="shared" si="0"/>
        <v>18</v>
      </c>
      <c r="C44" s="1">
        <f>COUNTIF([1]PMDN!$AF:$AF,"Mantewe")</f>
        <v>15</v>
      </c>
      <c r="D44" s="1">
        <f>COUNTIF([1]PMA!$AF:$AF,"Mantewe")</f>
        <v>3</v>
      </c>
    </row>
    <row r="45" spans="1:4" x14ac:dyDescent="0.35">
      <c r="A45" s="1" t="s">
        <v>5</v>
      </c>
      <c r="B45" s="1">
        <f t="shared" si="0"/>
        <v>58</v>
      </c>
      <c r="C45" s="1">
        <f>COUNTIF([1]PMDN!$AF:$AF,"Satui")</f>
        <v>55</v>
      </c>
      <c r="D45" s="1">
        <f>COUNTIF([1]PMA!$AF:$AF,"Satui")</f>
        <v>3</v>
      </c>
    </row>
    <row r="46" spans="1:4" x14ac:dyDescent="0.35">
      <c r="A46" s="1" t="s">
        <v>2</v>
      </c>
      <c r="B46" s="1">
        <f t="shared" si="0"/>
        <v>168</v>
      </c>
      <c r="C46" s="1">
        <f>COUNTIF([1]PMDN!$AF:$AF,"Simpang Empat")</f>
        <v>160</v>
      </c>
      <c r="D46" s="1">
        <f>COUNTIF([1]PMA!$AF:$AF,"Simpang Empat")</f>
        <v>8</v>
      </c>
    </row>
    <row r="47" spans="1:4" x14ac:dyDescent="0.35">
      <c r="A47" s="1" t="s">
        <v>3</v>
      </c>
      <c r="B47" s="1">
        <f t="shared" si="0"/>
        <v>7</v>
      </c>
      <c r="C47" s="1">
        <f>COUNTIF([1]PMDN!$AF:$AF,"Sungai Loban")</f>
        <v>7</v>
      </c>
      <c r="D47" s="1">
        <f>COUNTIF([1]PMA!$AF:$AF,"Sungai Loban")</f>
        <v>0</v>
      </c>
    </row>
    <row r="48" spans="1:4" x14ac:dyDescent="0.35">
      <c r="A48" s="1" t="s">
        <v>8</v>
      </c>
      <c r="B48" s="1">
        <f t="shared" si="0"/>
        <v>11</v>
      </c>
      <c r="C48" s="1">
        <f>COUNTIF([1]PMDN!$AF:$AF,"Teluk Kepayang")</f>
        <v>10</v>
      </c>
      <c r="D48" s="1">
        <f>COUNTIF([1]PMA!$AF:$AF,"Teluk Kepayang")</f>
        <v>1</v>
      </c>
    </row>
    <row r="49" spans="1:4" x14ac:dyDescent="0.35">
      <c r="A49" s="51" t="s">
        <v>216</v>
      </c>
      <c r="B49" s="51">
        <f>SUM(B37:B48)</f>
        <v>452</v>
      </c>
      <c r="C49" s="51">
        <f>SUM(C37:C48)</f>
        <v>433</v>
      </c>
      <c r="D49" s="51">
        <f>SUM(D37:D48)</f>
        <v>19</v>
      </c>
    </row>
  </sheetData>
  <sortState xmlns:xlrd2="http://schemas.microsoft.com/office/spreadsheetml/2017/richdata2" ref="A25:B32">
    <sortCondition descending="1" ref="B2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C77A-E97C-49E3-9D14-3C5ABFE95EC1}">
  <dimension ref="A3:I33"/>
  <sheetViews>
    <sheetView topLeftCell="A16" zoomScale="70" zoomScaleNormal="70" workbookViewId="0">
      <selection activeCell="G34" sqref="G34"/>
    </sheetView>
  </sheetViews>
  <sheetFormatPr defaultRowHeight="14.5" x14ac:dyDescent="0.35"/>
  <cols>
    <col min="1" max="1" width="6.36328125" customWidth="1"/>
    <col min="2" max="2" width="13.08984375" customWidth="1"/>
    <col min="3" max="3" width="10.36328125" customWidth="1"/>
    <col min="4" max="4" width="18.08984375" customWidth="1"/>
    <col min="5" max="5" width="15.1796875" customWidth="1"/>
    <col min="6" max="6" width="16.6328125" customWidth="1"/>
    <col min="7" max="7" width="18.6328125" customWidth="1"/>
    <col min="8" max="8" width="16.90625" customWidth="1"/>
    <col min="9" max="9" width="18.36328125" customWidth="1"/>
  </cols>
  <sheetData>
    <row r="3" spans="1:9" x14ac:dyDescent="0.35">
      <c r="A3" s="88" t="s">
        <v>210</v>
      </c>
      <c r="B3" s="88" t="s">
        <v>211</v>
      </c>
      <c r="C3" s="88" t="s">
        <v>213</v>
      </c>
      <c r="D3" s="88"/>
      <c r="E3" s="88" t="s">
        <v>215</v>
      </c>
      <c r="F3" s="88"/>
      <c r="G3" s="88"/>
      <c r="H3" s="88" t="s">
        <v>182</v>
      </c>
      <c r="I3" s="88"/>
    </row>
    <row r="4" spans="1:9" x14ac:dyDescent="0.35">
      <c r="A4" s="88"/>
      <c r="B4" s="88"/>
      <c r="C4" s="41" t="s">
        <v>212</v>
      </c>
      <c r="D4" s="41" t="s">
        <v>214</v>
      </c>
      <c r="E4" s="41" t="s">
        <v>212</v>
      </c>
      <c r="F4" s="41" t="s">
        <v>208</v>
      </c>
      <c r="G4" s="41" t="s">
        <v>214</v>
      </c>
      <c r="H4" s="41" t="s">
        <v>212</v>
      </c>
      <c r="I4" s="41" t="s">
        <v>214</v>
      </c>
    </row>
    <row r="5" spans="1:9" x14ac:dyDescent="0.35">
      <c r="A5" s="35">
        <v>1</v>
      </c>
      <c r="B5" s="1" t="s">
        <v>4</v>
      </c>
      <c r="C5" s="1">
        <f>COUNTIF([1]PMDN!$AF:$AF,"Angsana")</f>
        <v>79</v>
      </c>
      <c r="D5" s="5">
        <f>SUMIF(
[1]PMDN!$AF$2:$AF$436,
B5,
[1]PMDN!$T$2:$T$436
)</f>
        <v>950718429246</v>
      </c>
      <c r="E5" s="1">
        <f>COUNTIF([1]PMA!$AF:$AF,"Angsana")</f>
        <v>2</v>
      </c>
      <c r="F5" s="37">
        <v>0</v>
      </c>
      <c r="G5" s="36">
        <f>SUMIF(
[1]PMA!$AF$2:$AF$21,
B5,
[1]PMA!$T$2:$T$21)</f>
        <v>0</v>
      </c>
      <c r="H5" s="1">
        <f>SUM(C5:F5)</f>
        <v>950718429327</v>
      </c>
      <c r="I5" s="6">
        <f>D5+G5</f>
        <v>950718429246</v>
      </c>
    </row>
    <row r="6" spans="1:9" x14ac:dyDescent="0.35">
      <c r="A6" s="35">
        <v>2</v>
      </c>
      <c r="B6" s="1" t="s">
        <v>1</v>
      </c>
      <c r="C6" s="1">
        <f>COUNTIF([1]PMDN!$AF:$AF,"Batu Licin")</f>
        <v>78</v>
      </c>
      <c r="D6" s="5">
        <f>SUMIF(
[1]PMDN!$AF$2:$AF$436,
B6,
[1]PMDN!$T$2:$T$436
)</f>
        <v>2251760436665</v>
      </c>
      <c r="E6" s="1">
        <f>COUNTIF([1]PMA!$AF:$AF,"Batu Licin")</f>
        <v>2</v>
      </c>
      <c r="F6" s="6">
        <f>G6/16.664</f>
        <v>2859584247.9596734</v>
      </c>
      <c r="G6" s="36">
        <f>SUMIF([1]PMA!$AF$2:$AF$21,
B6,
[1]PMA!$T$2:$T$21)</f>
        <v>47652111908</v>
      </c>
      <c r="H6" s="1">
        <v>93</v>
      </c>
      <c r="I6" s="6">
        <f t="shared" ref="I6:I16" si="0">D6+G6</f>
        <v>2299412548573</v>
      </c>
    </row>
    <row r="7" spans="1:9" x14ac:dyDescent="0.35">
      <c r="A7" s="35">
        <v>3</v>
      </c>
      <c r="B7" s="1" t="s">
        <v>7</v>
      </c>
      <c r="C7" s="1">
        <f>COUNTIF([1]PMDN!$AF:$AF,"Karang Bintang")</f>
        <v>4</v>
      </c>
      <c r="D7" s="5">
        <f>SUMIF(
[1]PMDN!$AF$2:$AF$436,
B7,
[1]PMDN!$T$2:$T$436
)</f>
        <v>10419748919</v>
      </c>
      <c r="E7" s="1">
        <f>COUNTIF([1]PMA!$AF:$AF,"Karang Bintang")</f>
        <v>0</v>
      </c>
      <c r="F7" s="6">
        <f t="shared" ref="F7:F16" si="1">G7/16.664</f>
        <v>0</v>
      </c>
      <c r="G7" s="36">
        <f>SUMIF(
[1]PMA!$AF$2:$AF$21,
B7,
[1]PMA!$T$2:$T$21)</f>
        <v>0</v>
      </c>
      <c r="H7" s="1">
        <v>19</v>
      </c>
      <c r="I7" s="6">
        <f t="shared" si="0"/>
        <v>10419748919</v>
      </c>
    </row>
    <row r="8" spans="1:9" x14ac:dyDescent="0.35">
      <c r="A8" s="35">
        <v>4</v>
      </c>
      <c r="B8" s="1" t="s">
        <v>12</v>
      </c>
      <c r="C8" s="1">
        <f>COUNTIF([1]PMDN!$AF:$AF,"Kuranji")</f>
        <v>0</v>
      </c>
      <c r="D8" s="5">
        <f>SUMIF(
[1]PMDN!$AF$2:$AF$436,
B8,
[1]PMDN!$T$2:$T$436
)</f>
        <v>0</v>
      </c>
      <c r="E8" s="1">
        <f>COUNTIF([1]PMA!$AF:$AF,"Kuranji")</f>
        <v>0</v>
      </c>
      <c r="F8" s="6">
        <f t="shared" si="1"/>
        <v>0</v>
      </c>
      <c r="G8" s="36">
        <f>SUMIF(
[1]PMA!$AF$2:$AF$21,
B8,
[1]PMA!$T$2:$T$21)</f>
        <v>0</v>
      </c>
      <c r="H8" s="1">
        <v>8</v>
      </c>
      <c r="I8" s="6">
        <f t="shared" si="0"/>
        <v>0</v>
      </c>
    </row>
    <row r="9" spans="1:9" x14ac:dyDescent="0.35">
      <c r="A9" s="35">
        <v>5</v>
      </c>
      <c r="B9" s="1" t="s">
        <v>9</v>
      </c>
      <c r="C9" s="1">
        <f>COUNTIF([1]PMDN!$AF:$AF,"Kusan Hilir")</f>
        <v>15</v>
      </c>
      <c r="D9" s="5">
        <f>SUMIF(
[1]PMDN!$AF$2:$AF$436,
B9,
[1]PMDN!$T$2:$T$436
)</f>
        <v>6325364252</v>
      </c>
      <c r="E9" s="1">
        <f>COUNTIF([1]PMA!$AF:$AF,"Kusan Hilir")</f>
        <v>0</v>
      </c>
      <c r="F9" s="6">
        <f t="shared" si="1"/>
        <v>0</v>
      </c>
      <c r="G9" s="36">
        <f>SUMIF(
[1]PMA!$AF$2:$AF$21,
B9,
[1]PMA!$T$2:$T$21)</f>
        <v>0</v>
      </c>
      <c r="H9" s="1">
        <v>173</v>
      </c>
      <c r="I9" s="6">
        <f t="shared" si="0"/>
        <v>6325364252</v>
      </c>
    </row>
    <row r="10" spans="1:9" x14ac:dyDescent="0.35">
      <c r="A10" s="35">
        <v>6</v>
      </c>
      <c r="B10" s="1" t="s">
        <v>0</v>
      </c>
      <c r="C10" s="1">
        <f>COUNTIF([1]PMDN!$AF:$AF,"Kusan Hulu")</f>
        <v>4</v>
      </c>
      <c r="D10" s="5">
        <f>SUMIF(
[1]PMDN!$AF$2:$AF$436,
B10,
[1]PMDN!$T$2:$T$436
)</f>
        <v>151747832376</v>
      </c>
      <c r="E10" s="1">
        <f>COUNTIF([1]PMA!$AF:$AF,"Kusan Hulu")</f>
        <v>0</v>
      </c>
      <c r="F10" s="6">
        <f t="shared" si="1"/>
        <v>0</v>
      </c>
      <c r="G10" s="36">
        <f>SUMIF(
[1]PMA!$AF$2:$AF$21,
B10,
[1]PMA!$T$2:$T$21)</f>
        <v>0</v>
      </c>
      <c r="H10" s="1">
        <v>20</v>
      </c>
      <c r="I10" s="6">
        <f t="shared" si="0"/>
        <v>151747832376</v>
      </c>
    </row>
    <row r="11" spans="1:9" x14ac:dyDescent="0.35">
      <c r="A11" s="35">
        <v>7</v>
      </c>
      <c r="B11" s="1" t="s">
        <v>6</v>
      </c>
      <c r="C11" s="1">
        <f>COUNTIF([1]PMDN!$AF:$AF,"Kusan Tengah")</f>
        <v>6</v>
      </c>
      <c r="D11" s="5">
        <f>SUMIF(
[1]PMDN!$AF$2:$AF$436,
B11,
[1]PMDN!$T$2:$T$436
)</f>
        <v>9189481697</v>
      </c>
      <c r="E11" s="1">
        <f>COUNTIF([1]PMA!$AF:$AF,"Kusan Tengah")</f>
        <v>0</v>
      </c>
      <c r="F11" s="6">
        <f t="shared" si="1"/>
        <v>0</v>
      </c>
      <c r="G11" s="36">
        <f>SUMIF(
[1]PMA!$AF$2:$AF$21,
B11,
[1]PMA!$T$2:$T$21)</f>
        <v>0</v>
      </c>
      <c r="H11" s="1">
        <v>7</v>
      </c>
      <c r="I11" s="6">
        <f t="shared" si="0"/>
        <v>9189481697</v>
      </c>
    </row>
    <row r="12" spans="1:9" x14ac:dyDescent="0.35">
      <c r="A12" s="35">
        <v>8</v>
      </c>
      <c r="B12" s="1" t="s">
        <v>11</v>
      </c>
      <c r="C12" s="1">
        <f>COUNTIF([1]PMDN!$AF:$AF,"Mantewe")</f>
        <v>15</v>
      </c>
      <c r="D12" s="5">
        <f>SUMIF(
[1]PMDN!$AF$2:$AF$436,
B12,
[1]PMDN!$T$2:$T$436
)</f>
        <v>821045875316</v>
      </c>
      <c r="E12" s="1">
        <f>COUNTIF([1]PMA!$AF:$AF,"Mantewe")</f>
        <v>3</v>
      </c>
      <c r="F12" s="6">
        <f t="shared" si="1"/>
        <v>103870815923.90782</v>
      </c>
      <c r="G12" s="36">
        <f>SUMIF(
[1]PMA!$AF$2:$AF$21,
B12,
[1]PMA!$T$2:$T$21)</f>
        <v>1730903276556</v>
      </c>
      <c r="H12" s="1">
        <v>20</v>
      </c>
      <c r="I12" s="6">
        <f t="shared" si="0"/>
        <v>2551949151872</v>
      </c>
    </row>
    <row r="13" spans="1:9" x14ac:dyDescent="0.35">
      <c r="A13" s="35">
        <v>9</v>
      </c>
      <c r="B13" s="1" t="s">
        <v>5</v>
      </c>
      <c r="C13" s="1">
        <f>COUNTIF([1]PMDN!$AF:$AF,"Satui")</f>
        <v>55</v>
      </c>
      <c r="D13" s="5">
        <f>SUMIF(
[1]PMDN!$AF$2:$AF$436,
B13,
[1]PMDN!$T$2:$T$436
)</f>
        <v>2773270472900</v>
      </c>
      <c r="E13" s="1">
        <f>COUNTIF([1]PMA!$AF:$AF,"Satui")</f>
        <v>3</v>
      </c>
      <c r="F13" s="6">
        <f t="shared" si="1"/>
        <v>27120923713.51416</v>
      </c>
      <c r="G13" s="36">
        <f>SUMIF(
[1]PMA!$AF$2:$AF$21,
B13,
[1]PMA!$T$2:$T$21)</f>
        <v>451943072762</v>
      </c>
      <c r="H13" s="1">
        <v>136</v>
      </c>
      <c r="I13" s="6">
        <f t="shared" si="0"/>
        <v>3225213545662</v>
      </c>
    </row>
    <row r="14" spans="1:9" x14ac:dyDescent="0.35">
      <c r="A14" s="35">
        <v>10</v>
      </c>
      <c r="B14" s="1" t="s">
        <v>2</v>
      </c>
      <c r="C14" s="1">
        <f>COUNTIF([1]PMDN!$AF:$AF,"Simpang Empat")</f>
        <v>160</v>
      </c>
      <c r="D14" s="5">
        <f>SUMIF(
[1]PMDN!$AF$2:$AF$436,
B14,
[1]PMDN!$T$2:$T$436
)</f>
        <v>7896078820884</v>
      </c>
      <c r="E14" s="1">
        <f>COUNTIF([1]PMA!$AF:$AF,"Simpang Empat")</f>
        <v>8</v>
      </c>
      <c r="F14" s="6">
        <f t="shared" si="1"/>
        <v>91629337550.28804</v>
      </c>
      <c r="G14" s="36">
        <f>SUMIF(
[1]PMA!$AF$2:$AF$21,
B14,
[1]PMA!$T$2:$T$21)</f>
        <v>1526911280938</v>
      </c>
      <c r="H14" s="1">
        <v>340</v>
      </c>
      <c r="I14" s="6">
        <f t="shared" si="0"/>
        <v>9422990101822</v>
      </c>
    </row>
    <row r="15" spans="1:9" x14ac:dyDescent="0.35">
      <c r="A15" s="35">
        <v>11</v>
      </c>
      <c r="B15" s="1" t="s">
        <v>3</v>
      </c>
      <c r="C15" s="1">
        <f>COUNTIF([1]PMDN!$AF:$AF,"Sungai Loban")</f>
        <v>7</v>
      </c>
      <c r="D15" s="5">
        <f>SUMIF(
[1]PMDN!$AF$2:$AF$436,
B15,
[1]PMDN!$T$2:$T$436
)</f>
        <v>202556292413</v>
      </c>
      <c r="E15" s="1">
        <f>COUNTIF([1]PMA!$AF:$AF,"Sungai Loban")</f>
        <v>0</v>
      </c>
      <c r="F15" s="6">
        <f t="shared" si="1"/>
        <v>0</v>
      </c>
      <c r="G15" s="36">
        <f>SUMIF(
[1]PMA!$AF$2:$AF$21,
B15,
[1]PMA!$T$2:$T$21)</f>
        <v>0</v>
      </c>
      <c r="H15" s="1">
        <v>16</v>
      </c>
      <c r="I15" s="6">
        <f t="shared" si="0"/>
        <v>202556292413</v>
      </c>
    </row>
    <row r="16" spans="1:9" x14ac:dyDescent="0.35">
      <c r="A16" s="35">
        <v>12</v>
      </c>
      <c r="B16" s="1" t="s">
        <v>8</v>
      </c>
      <c r="C16" s="1">
        <f>COUNTIF([1]PMDN!$AF:$AF,"Teluk Kepayang")</f>
        <v>10</v>
      </c>
      <c r="D16" s="5">
        <f>SUMIF(
[1]PMDN!$AF$2:$AF$436,
B16,
[1]PMDN!$T$2:$T$436
)</f>
        <v>1277449355042</v>
      </c>
      <c r="E16" s="1">
        <f>COUNTIF([1]PMA!$AF:$AF,"Teluk Kepayang")</f>
        <v>1</v>
      </c>
      <c r="F16" s="6">
        <f t="shared" si="1"/>
        <v>0</v>
      </c>
      <c r="G16" s="36">
        <f>SUMIF(
[1]PMA!$AF$2:$AF$21,
B16,
[1]PMA!$T$2:$T$21)</f>
        <v>0</v>
      </c>
      <c r="H16" s="1">
        <v>15</v>
      </c>
      <c r="I16" s="6">
        <f t="shared" si="0"/>
        <v>1277449355042</v>
      </c>
    </row>
    <row r="17" spans="1:9" x14ac:dyDescent="0.35">
      <c r="A17" s="1"/>
      <c r="B17" s="51" t="s">
        <v>216</v>
      </c>
      <c r="C17" s="43">
        <f t="shared" ref="C17:I17" si="2">SUM(C5:C16)</f>
        <v>433</v>
      </c>
      <c r="D17" s="44">
        <f t="shared" si="2"/>
        <v>16350562109710</v>
      </c>
      <c r="E17" s="43">
        <f t="shared" si="2"/>
        <v>19</v>
      </c>
      <c r="F17" s="44">
        <f t="shared" si="2"/>
        <v>225480661435.66968</v>
      </c>
      <c r="G17" s="44">
        <f t="shared" si="2"/>
        <v>3757409742164</v>
      </c>
      <c r="H17" s="43">
        <f t="shared" si="2"/>
        <v>950718430174</v>
      </c>
      <c r="I17" s="44">
        <f t="shared" si="2"/>
        <v>20107971851874</v>
      </c>
    </row>
    <row r="21" spans="1:9" x14ac:dyDescent="0.35">
      <c r="B21" s="1" t="s">
        <v>4</v>
      </c>
      <c r="C21" s="38">
        <f>D21/D$33</f>
        <v>5.8145917116904693E-2</v>
      </c>
      <c r="D21" s="3">
        <f>SUMIF(
[1]PMDN!$AF$2:$AF$436,
B21,
[1]PMDN!$T$2:$T$436
)</f>
        <v>950718429246</v>
      </c>
      <c r="F21" s="1" t="s">
        <v>4</v>
      </c>
      <c r="G21" s="48">
        <f t="shared" ref="G21:G27" si="3">H21/H$28</f>
        <v>0</v>
      </c>
      <c r="H21" s="3">
        <f>SUMIF(
[1]PMA!$AF$2:$AF$436,
F21,
[1]PMA!$T$2:$T$436
)</f>
        <v>0</v>
      </c>
    </row>
    <row r="22" spans="1:9" x14ac:dyDescent="0.35">
      <c r="B22" s="1" t="s">
        <v>1</v>
      </c>
      <c r="C22" s="38">
        <f t="shared" ref="C22:C32" si="4">D22/D$33</f>
        <v>0.13771761616242917</v>
      </c>
      <c r="D22" s="3">
        <f>SUMIF(
[1]PMDN!$AF$2:$AF$436,
B22,
[1]PMDN!$T$2:$T$436
)</f>
        <v>2251760436665</v>
      </c>
      <c r="F22" s="1" t="s">
        <v>1</v>
      </c>
      <c r="G22" s="48">
        <f t="shared" si="3"/>
        <v>1.2682170744720479E-2</v>
      </c>
      <c r="H22" s="3">
        <f>SUMIF(
[1]PMA!$AF$2:$AF$436,
F22,
[1]PMA!$T$2:$T$436
)</f>
        <v>47652111908</v>
      </c>
    </row>
    <row r="23" spans="1:9" x14ac:dyDescent="0.35">
      <c r="B23" s="1" t="s">
        <v>7</v>
      </c>
      <c r="C23" s="38">
        <f t="shared" si="4"/>
        <v>6.3727160259598008E-4</v>
      </c>
      <c r="D23" s="3">
        <f>SUMIF(
[1]PMDN!$AF$2:$AF$436,
B23,
[1]PMDN!$T$2:$T$436
)</f>
        <v>10419748919</v>
      </c>
      <c r="F23" s="1" t="s">
        <v>11</v>
      </c>
      <c r="G23" s="48">
        <f t="shared" si="3"/>
        <v>0.46066396675682308</v>
      </c>
      <c r="H23" s="3">
        <f>SUMIF(
[1]PMA!$AF$2:$AF$436,
F23,
[1]PMA!$T$2:$T$436
)</f>
        <v>1730903276556</v>
      </c>
    </row>
    <row r="24" spans="1:9" x14ac:dyDescent="0.35">
      <c r="B24" s="1" t="s">
        <v>12</v>
      </c>
      <c r="C24" s="38">
        <f t="shared" si="4"/>
        <v>0</v>
      </c>
      <c r="D24" s="3">
        <f>SUMIF(
[1]PMDN!$AF$2:$AF$436,
B24,
[1]PMDN!$T$2:$T$436
)</f>
        <v>0</v>
      </c>
      <c r="F24" s="1" t="s">
        <v>5</v>
      </c>
      <c r="G24" s="48">
        <f t="shared" si="3"/>
        <v>0.12028048676472346</v>
      </c>
      <c r="H24" s="3">
        <f>SUMIF(
[1]PMA!$AF$2:$AF$436,
F24,
[1]PMA!$T$2:$T$436
)</f>
        <v>451943072762</v>
      </c>
    </row>
    <row r="25" spans="1:9" x14ac:dyDescent="0.35">
      <c r="B25" s="1" t="s">
        <v>9</v>
      </c>
      <c r="C25" s="38">
        <f t="shared" si="4"/>
        <v>3.8685913117589993E-4</v>
      </c>
      <c r="D25" s="3">
        <f>SUMIF(
[1]PMDN!$AF$2:$AF$436,
B25,
[1]PMDN!$T$2:$T$436
)</f>
        <v>6325364252</v>
      </c>
      <c r="F25" s="1" t="s">
        <v>2</v>
      </c>
      <c r="G25" s="48">
        <f t="shared" si="3"/>
        <v>0.406373375733733</v>
      </c>
      <c r="H25" s="3">
        <f>SUMIF(
[1]PMA!$AF$2:$AF$436,
F25,
[1]PMA!$T$2:$T$436
)</f>
        <v>1526911280938</v>
      </c>
    </row>
    <row r="26" spans="1:9" x14ac:dyDescent="0.35">
      <c r="B26" s="1" t="s">
        <v>0</v>
      </c>
      <c r="C26" s="38">
        <f t="shared" si="4"/>
        <v>9.2808939140925639E-3</v>
      </c>
      <c r="D26" s="3">
        <f>SUMIF(
[1]PMDN!$AF$2:$AF$436,
B26,
[1]PMDN!$T$2:$T$436
)</f>
        <v>151747832376</v>
      </c>
      <c r="F26" s="1" t="s">
        <v>3</v>
      </c>
      <c r="G26" s="48">
        <f t="shared" si="3"/>
        <v>0</v>
      </c>
      <c r="H26" s="3">
        <f>SUMIF(
[1]PMA!$AF$2:$AF$436,
F26,
[1]PMA!$T$2:$T$436
)</f>
        <v>0</v>
      </c>
    </row>
    <row r="27" spans="1:9" x14ac:dyDescent="0.35">
      <c r="B27" s="1" t="s">
        <v>6</v>
      </c>
      <c r="C27" s="38">
        <f t="shared" si="4"/>
        <v>5.620284877877503E-4</v>
      </c>
      <c r="D27" s="3">
        <f>SUMIF(
[1]PMDN!$AF$2:$AF$436,
B27,
[1]PMDN!$T$2:$T$436
)</f>
        <v>9189481697</v>
      </c>
      <c r="F27" s="45" t="s">
        <v>8</v>
      </c>
      <c r="G27" s="49">
        <f t="shared" si="3"/>
        <v>0</v>
      </c>
      <c r="H27" s="3">
        <f>SUMIF(
[1]PMA!$AF$2:$AF$436,
F27,
[1]PMA!$T$2:$T$436
)</f>
        <v>0</v>
      </c>
    </row>
    <row r="28" spans="1:9" x14ac:dyDescent="0.35">
      <c r="B28" s="1" t="s">
        <v>11</v>
      </c>
      <c r="C28" s="38">
        <f t="shared" si="4"/>
        <v>5.0215146721372408E-2</v>
      </c>
      <c r="D28" s="3">
        <f>SUMIF(
[1]PMDN!$AF$2:$AF$436,
B28,
[1]PMDN!$T$2:$T$436
)</f>
        <v>821045875316</v>
      </c>
      <c r="F28" s="51" t="s">
        <v>216</v>
      </c>
      <c r="G28" s="52">
        <f>SUM(G21:G27)</f>
        <v>1</v>
      </c>
      <c r="H28" s="44">
        <f>SUM(H21:H27)</f>
        <v>3757409742164</v>
      </c>
    </row>
    <row r="29" spans="1:9" x14ac:dyDescent="0.35">
      <c r="B29" s="1" t="s">
        <v>5</v>
      </c>
      <c r="C29" s="38">
        <f t="shared" si="4"/>
        <v>0.16961315790195716</v>
      </c>
      <c r="D29" s="3">
        <f>SUMIF(
[1]PMDN!$AF$2:$AF$436,
B29,
[1]PMDN!$T$2:$T$436
)</f>
        <v>2773270472900</v>
      </c>
    </row>
    <row r="30" spans="1:9" x14ac:dyDescent="0.35">
      <c r="B30" s="1" t="s">
        <v>2</v>
      </c>
      <c r="C30" s="38">
        <f t="shared" si="4"/>
        <v>0.48292399783581802</v>
      </c>
      <c r="D30" s="3">
        <f>SUMIF(
[1]PMDN!$AF$2:$AF$436,
B30,
[1]PMDN!$T$2:$T$436
)</f>
        <v>7896078820884</v>
      </c>
    </row>
    <row r="31" spans="1:9" x14ac:dyDescent="0.35">
      <c r="B31" s="1" t="s">
        <v>3</v>
      </c>
      <c r="C31" s="38">
        <f t="shared" si="4"/>
        <v>1.2388338153384295E-2</v>
      </c>
      <c r="D31" s="3">
        <f>SUMIF(
[1]PMDN!$AF$2:$AF$436,
B31,
[1]PMDN!$T$2:$T$436
)</f>
        <v>202556292413</v>
      </c>
    </row>
    <row r="32" spans="1:9" x14ac:dyDescent="0.35">
      <c r="B32" s="45" t="s">
        <v>8</v>
      </c>
      <c r="C32" s="46">
        <f t="shared" si="4"/>
        <v>7.8128772972482066E-2</v>
      </c>
      <c r="D32" s="3">
        <f>SUMIF(
[1]PMDN!$AF$2:$AF$436,
B32,
[1]PMDN!$T$2:$T$436
)</f>
        <v>1277449355042</v>
      </c>
    </row>
    <row r="33" spans="2:4" x14ac:dyDescent="0.35">
      <c r="B33" s="51" t="s">
        <v>216</v>
      </c>
      <c r="C33" s="47">
        <f>SUM(C21:C32)</f>
        <v>0.99999999999999989</v>
      </c>
      <c r="D33" s="44">
        <f>SUM(D21:D32)</f>
        <v>16350562109710</v>
      </c>
    </row>
  </sheetData>
  <mergeCells count="5">
    <mergeCell ref="A3:A4"/>
    <mergeCell ref="B3:B4"/>
    <mergeCell ref="C3:D3"/>
    <mergeCell ref="E3:G3"/>
    <mergeCell ref="H3:I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00EC-3870-4090-A53D-37734C1C9301}">
  <dimension ref="A4:C16"/>
  <sheetViews>
    <sheetView zoomScale="64" workbookViewId="0">
      <selection activeCell="C5" sqref="C5"/>
    </sheetView>
  </sheetViews>
  <sheetFormatPr defaultRowHeight="14.5" x14ac:dyDescent="0.35"/>
  <cols>
    <col min="1" max="1" width="15.6328125" customWidth="1"/>
    <col min="3" max="3" width="18.6328125" customWidth="1"/>
  </cols>
  <sheetData>
    <row r="4" spans="1:3" x14ac:dyDescent="0.35">
      <c r="A4" s="1" t="s">
        <v>4</v>
      </c>
      <c r="B4" s="38">
        <f>C4/C$16</f>
        <v>6.7432569894478683E-2</v>
      </c>
      <c r="C4" s="5">
        <f>SUMIF(
[1]PMDN!$AF$2:$AF$436,
A4,
[1]PMDN!$T$2:$T$436
)</f>
        <v>950718429246</v>
      </c>
    </row>
    <row r="5" spans="1:3" x14ac:dyDescent="0.35">
      <c r="A5" s="1" t="s">
        <v>10</v>
      </c>
      <c r="B5" s="38">
        <f t="shared" ref="B5:B15" si="0">C5/C$16</f>
        <v>0</v>
      </c>
      <c r="C5" s="5">
        <f>SUMIF(
[1]PMDN!$AF$2:$AF$436,
A5,
[1]PMDN!$T$2:$T$436
)</f>
        <v>0</v>
      </c>
    </row>
    <row r="6" spans="1:3" x14ac:dyDescent="0.35">
      <c r="A6" s="1" t="s">
        <v>7</v>
      </c>
      <c r="B6" s="38">
        <f t="shared" si="0"/>
        <v>7.3905209539340848E-4</v>
      </c>
      <c r="C6" s="5">
        <f>SUMIF(
[1]PMDN!$AF$2:$AF$436,
A6,
[1]PMDN!$T$2:$T$436
)</f>
        <v>10419748919</v>
      </c>
    </row>
    <row r="7" spans="1:3" x14ac:dyDescent="0.35">
      <c r="A7" s="1" t="s">
        <v>12</v>
      </c>
      <c r="B7" s="38">
        <f t="shared" si="0"/>
        <v>0</v>
      </c>
      <c r="C7" s="5">
        <f>SUMIF(
[1]PMDN!$AF$2:$AF$436,
A7,
[1]PMDN!$T$2:$T$436
)</f>
        <v>0</v>
      </c>
    </row>
    <row r="8" spans="1:3" x14ac:dyDescent="0.35">
      <c r="A8" s="1" t="s">
        <v>9</v>
      </c>
      <c r="B8" s="38">
        <f t="shared" si="0"/>
        <v>4.4864552312224096E-4</v>
      </c>
      <c r="C8" s="5">
        <f>SUMIF(
[1]PMDN!$AF$2:$AF$436,
A8,
[1]PMDN!$T$2:$T$436
)</f>
        <v>6325364252</v>
      </c>
    </row>
    <row r="9" spans="1:3" x14ac:dyDescent="0.35">
      <c r="A9" s="1" t="s">
        <v>0</v>
      </c>
      <c r="B9" s="38">
        <f t="shared" si="0"/>
        <v>1.0763172352876011E-2</v>
      </c>
      <c r="C9" s="5">
        <f>SUMIF(
[1]PMDN!$AF$2:$AF$436,
A9,
[1]PMDN!$T$2:$T$436
)</f>
        <v>151747832376</v>
      </c>
    </row>
    <row r="10" spans="1:3" x14ac:dyDescent="0.35">
      <c r="A10" s="1" t="s">
        <v>6</v>
      </c>
      <c r="B10" s="38">
        <f t="shared" si="0"/>
        <v>6.5179168486134849E-4</v>
      </c>
      <c r="C10" s="5">
        <f>SUMIF(
[1]PMDN!$AF$2:$AF$436,
A10,
[1]PMDN!$T$2:$T$436
)</f>
        <v>9189481697</v>
      </c>
    </row>
    <row r="11" spans="1:3" x14ac:dyDescent="0.35">
      <c r="A11" s="1" t="s">
        <v>11</v>
      </c>
      <c r="B11" s="38">
        <f t="shared" si="0"/>
        <v>5.8235153196439987E-2</v>
      </c>
      <c r="C11" s="5">
        <f>SUMIF(
[1]PMDN!$AF$2:$AF$436,
A11,
[1]PMDN!$T$2:$T$436
)</f>
        <v>821045875316</v>
      </c>
    </row>
    <row r="12" spans="1:3" x14ac:dyDescent="0.35">
      <c r="A12" s="1" t="s">
        <v>5</v>
      </c>
      <c r="B12" s="38">
        <f t="shared" si="0"/>
        <v>0.19670256644592127</v>
      </c>
      <c r="C12" s="5">
        <f>SUMIF(
[1]PMDN!$AF$2:$AF$436,
A12,
[1]PMDN!$T$2:$T$436
)</f>
        <v>2773270472900</v>
      </c>
    </row>
    <row r="13" spans="1:3" x14ac:dyDescent="0.35">
      <c r="A13" s="1" t="s">
        <v>2</v>
      </c>
      <c r="B13" s="38">
        <f t="shared" si="0"/>
        <v>0.56005318778121649</v>
      </c>
      <c r="C13" s="5">
        <f>SUMIF(
[1]PMDN!$AF$2:$AF$436,
A13,
[1]PMDN!$T$2:$T$436
)</f>
        <v>7896078820884</v>
      </c>
    </row>
    <row r="14" spans="1:3" x14ac:dyDescent="0.35">
      <c r="A14" s="1" t="s">
        <v>3</v>
      </c>
      <c r="B14" s="38">
        <f t="shared" si="0"/>
        <v>1.4366915508873368E-2</v>
      </c>
      <c r="C14" s="5">
        <f>SUMIF(
[1]PMDN!$AF$2:$AF$436,
A14,
[1]PMDN!$T$2:$T$436
)</f>
        <v>202556292413</v>
      </c>
    </row>
    <row r="15" spans="1:3" x14ac:dyDescent="0.35">
      <c r="A15" s="1" t="s">
        <v>8</v>
      </c>
      <c r="B15" s="38">
        <f t="shared" si="0"/>
        <v>9.0606945516817236E-2</v>
      </c>
      <c r="C15" s="5">
        <f>SUMIF(
[1]PMDN!$AF$2:$AF$436,
A15,
[1]PMDN!$T$2:$T$436
)</f>
        <v>1277449355042</v>
      </c>
    </row>
    <row r="16" spans="1:3" x14ac:dyDescent="0.35">
      <c r="A16" s="51" t="s">
        <v>216</v>
      </c>
      <c r="B16" s="50">
        <f>SUM(B4:B15)</f>
        <v>1</v>
      </c>
      <c r="C16" s="44">
        <f>SUM(C4:C15)</f>
        <v>14098801673045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5450-2434-4E95-8320-50FB5197E70B}">
  <sheetPr>
    <tabColor rgb="FFFFFF00"/>
  </sheetPr>
  <dimension ref="A1:D63"/>
  <sheetViews>
    <sheetView zoomScale="62" workbookViewId="0">
      <selection activeCell="B20" sqref="B20"/>
    </sheetView>
  </sheetViews>
  <sheetFormatPr defaultRowHeight="14.5" x14ac:dyDescent="0.35"/>
  <cols>
    <col min="1" max="1" width="37.453125" customWidth="1"/>
    <col min="2" max="2" width="21.1796875" customWidth="1"/>
    <col min="4" max="4" width="12.453125" customWidth="1"/>
  </cols>
  <sheetData>
    <row r="1" spans="1:2" x14ac:dyDescent="0.35">
      <c r="A1" s="89" t="s">
        <v>131</v>
      </c>
      <c r="B1" s="89"/>
    </row>
    <row r="2" spans="1:2" x14ac:dyDescent="0.35">
      <c r="A2" s="43" t="s">
        <v>24</v>
      </c>
      <c r="B2" s="43" t="s">
        <v>25</v>
      </c>
    </row>
    <row r="3" spans="1:2" x14ac:dyDescent="0.35">
      <c r="A3" s="58" t="s">
        <v>15</v>
      </c>
      <c r="B3" s="5" cm="1">
        <f t="array" ref="B3">IFERROR(INDEX([1]PMA!$S$2:$S$21,_xlfn.AGGREGATE(15,6,(ROW([1]PMA!$S$2:$S$500)-ROW([1]PMA!$S$2)+1)/([1]PMA!$H$2:$H$21=$A3),
COUNTIF($A$3:$A3,$A3)
)),
"")</f>
        <v>658860000000</v>
      </c>
    </row>
    <row r="4" spans="1:2" x14ac:dyDescent="0.35">
      <c r="A4" s="58" t="s">
        <v>16</v>
      </c>
      <c r="B4" s="5" cm="1">
        <f t="array" ref="B4">IFERROR(INDEX([1]PMA!$S$2:$S$21,_xlfn.AGGREGATE(15,6,(ROW([1]PMA!$S$2:$S$500)-ROW([1]PMA!$S$2)+1)/([1]PMA!$H$2:$H$21=$A4),
COUNTIF($A$3:$A4,$A4)
)),
"")</f>
        <v>597727800000</v>
      </c>
    </row>
    <row r="5" spans="1:2" x14ac:dyDescent="0.35">
      <c r="A5" s="58" t="s">
        <v>22</v>
      </c>
      <c r="B5" s="5" cm="1">
        <f t="array" ref="B5">IFERROR(INDEX([1]PMA!$S$2:$S$21,_xlfn.AGGREGATE(15,6,(ROW([1]PMA!$S$2:$S$500)-ROW([1]PMA!$S$2)+1)/([1]PMA!$H$2:$H$21=$A5),
COUNTIF($A$3:$A5,$A5)
)),
"")</f>
        <v>386005652284</v>
      </c>
    </row>
    <row r="6" spans="1:2" x14ac:dyDescent="0.35">
      <c r="A6" s="58" t="s">
        <v>20</v>
      </c>
      <c r="B6" s="5" cm="1">
        <f t="array" ref="B6">IFERROR(INDEX([1]PMA!$S$2:$S$21,_xlfn.AGGREGATE(15,6,(ROW([1]PMA!$S$2:$S$500)-ROW([1]PMA!$S$2)+1)/([1]PMA!$H$2:$H$21=$A6),
COUNTIF($A$3:$A6,$A6)
)),
"")</f>
        <v>7702450826</v>
      </c>
    </row>
    <row r="7" spans="1:2" x14ac:dyDescent="0.35">
      <c r="A7" s="58" t="s">
        <v>23</v>
      </c>
      <c r="B7" s="5" cm="1">
        <f t="array" ref="B7">IFERROR(INDEX([1]PMA!$S$2:$S$21,_xlfn.AGGREGATE(15,6,(ROW([1]PMA!$S$2:$S$500)-ROW([1]PMA!$S$2)+1)/([1]PMA!$H$2:$H$21=$A7),
COUNTIF($A$3:$A7,$A7)
)),
"")</f>
        <v>3128481473</v>
      </c>
    </row>
    <row r="8" spans="1:2" x14ac:dyDescent="0.35">
      <c r="A8" s="58" t="s">
        <v>19</v>
      </c>
      <c r="B8" s="5" cm="1">
        <f t="array" ref="B8">IFERROR(INDEX([1]PMA!$S$2:$S$21,_xlfn.AGGREGATE(15,6,(ROW([1]PMA!$S$2:$S$500)-ROW([1]PMA!$S$2)+1)/([1]PMA!$H$2:$H$21=$A8),
COUNTIF($A$3:$A8,$A8)
)),
"")</f>
        <v>198009376</v>
      </c>
    </row>
    <row r="9" spans="1:2" x14ac:dyDescent="0.35">
      <c r="A9" s="58" t="s">
        <v>20</v>
      </c>
      <c r="B9" s="5" cm="1">
        <f t="array" ref="B9">IFERROR(INDEX([1]PMA!$S$2:$S$21,_xlfn.AGGREGATE(15,6,(ROW([1]PMA!$S$2:$S$500)-ROW([1]PMA!$S$2)+1)/([1]PMA!$H$2:$H$21=$A9),
COUNTIF($A$3:$A9,$A9)
)),
"")</f>
        <v>0</v>
      </c>
    </row>
    <row r="10" spans="1:2" x14ac:dyDescent="0.35">
      <c r="A10" s="58" t="s">
        <v>15</v>
      </c>
      <c r="B10" s="5" cm="1">
        <f t="array" ref="B10">IFERROR(INDEX([1]PMA!$S$2:$S$21,_xlfn.AGGREGATE(15,6,(ROW([1]PMA!$S$2:$S$500)-ROW([1]PMA!$S$2)+1)/([1]PMA!$H$2:$H$21=$A10),
COUNTIF($A$3:$A10,$A10)
)),
"")</f>
        <v>0</v>
      </c>
    </row>
    <row r="11" spans="1:2" x14ac:dyDescent="0.35">
      <c r="A11" s="58" t="s">
        <v>15</v>
      </c>
      <c r="B11" s="5" cm="1">
        <f t="array" ref="B11">IFERROR(INDEX([1]PMA!$S$2:$S$21,_xlfn.AGGREGATE(15,6,(ROW([1]PMA!$S$2:$S$500)-ROW([1]PMA!$S$2)+1)/([1]PMA!$H$2:$H$21=$A11),
COUNTIF($A$3:$A11,$A11)
)),
"")</f>
        <v>0</v>
      </c>
    </row>
    <row r="12" spans="1:2" x14ac:dyDescent="0.35">
      <c r="A12" s="63" t="s">
        <v>15</v>
      </c>
      <c r="B12" s="5" cm="1">
        <f t="array" ref="B12">IFERROR(INDEX([1]PMA!$S$2:$S$21,_xlfn.AGGREGATE(15,6,(ROW([1]PMA!$S$2:$S$500)-ROW([1]PMA!$S$2)+1)/([1]PMA!$H$2:$H$21=$A12),
COUNTIF($A$3:$A12,$A12)
)),
"")</f>
        <v>0</v>
      </c>
    </row>
    <row r="13" spans="1:2" x14ac:dyDescent="0.35">
      <c r="A13" s="58" t="s">
        <v>218</v>
      </c>
      <c r="B13" s="5" cm="1">
        <f t="array" ref="B13">IFERROR(INDEX([1]PMA!$S$2:$S$21,_xlfn.AGGREGATE(15,6,(ROW([1]PMA!$S$2:$S$500)-ROW([1]PMA!$S$2)+1)/([1]PMA!$H$2:$H$21=$A13),
COUNTIF($A$3:$A13,$A13)
)),
"")</f>
        <v>0</v>
      </c>
    </row>
    <row r="14" spans="1:2" x14ac:dyDescent="0.35">
      <c r="A14" s="64" t="s">
        <v>219</v>
      </c>
      <c r="B14" s="5" cm="1">
        <f t="array" ref="B14">IFERROR(INDEX([1]PMA!$S$2:$S$21,_xlfn.AGGREGATE(15,6,(ROW([1]PMA!$S$2:$S$500)-ROW([1]PMA!$S$2)+1)/([1]PMA!$H$2:$H$21=$A14),
COUNTIF($A$3:$A14,$A14)
)),
"")</f>
        <v>0</v>
      </c>
    </row>
    <row r="15" spans="1:2" x14ac:dyDescent="0.35">
      <c r="A15" s="58" t="s">
        <v>219</v>
      </c>
      <c r="B15" s="5" cm="1">
        <f t="array" ref="B15">IFERROR(INDEX([1]PMA!$S$2:$S$21,_xlfn.AGGREGATE(15,6,(ROW([1]PMA!$S$2:$S$500)-ROW([1]PMA!$S$2)+1)/([1]PMA!$H$2:$H$21=$A15),
COUNTIF($A$3:$A15,$A15)
)),
"")</f>
        <v>0</v>
      </c>
    </row>
    <row r="16" spans="1:2" x14ac:dyDescent="0.35">
      <c r="A16" s="58" t="s">
        <v>18</v>
      </c>
      <c r="B16" s="5" cm="1">
        <f t="array" ref="B16">IFERROR(INDEX([1]PMA!$S$2:$S$21,_xlfn.AGGREGATE(15,6,(ROW([1]PMA!$S$2:$S$500)-ROW([1]PMA!$S$2)+1)/([1]PMA!$H$2:$H$21=$A16),
COUNTIF($A$3:$A16,$A16)
)),
"")</f>
        <v>0</v>
      </c>
    </row>
    <row r="17" spans="1:2" x14ac:dyDescent="0.35">
      <c r="A17" s="58" t="s">
        <v>220</v>
      </c>
      <c r="B17" s="5" cm="1">
        <f t="array" ref="B17">IFERROR(INDEX([1]PMA!$S$2:$S$21,_xlfn.AGGREGATE(15,6,(ROW([1]PMA!$S$2:$S$500)-ROW([1]PMA!$S$2)+1)/([1]PMA!$H$2:$H$21=$A17),
COUNTIF($A$3:$A17,$A17)
)),
"")</f>
        <v>0</v>
      </c>
    </row>
    <row r="18" spans="1:2" x14ac:dyDescent="0.35">
      <c r="A18" s="58" t="s">
        <v>15</v>
      </c>
      <c r="B18" s="5" cm="1">
        <f t="array" ref="B18">IFERROR(INDEX([1]PMA!$S$2:$S$21,_xlfn.AGGREGATE(15,6,(ROW([1]PMA!$S$2:$S$500)-ROW([1]PMA!$S$2)+1)/([1]PMA!$H$2:$H$21=$A18),
COUNTIF($A$3:$A18,$A18)
)),
"")</f>
        <v>0</v>
      </c>
    </row>
    <row r="19" spans="1:2" x14ac:dyDescent="0.35">
      <c r="A19" s="58" t="s">
        <v>15</v>
      </c>
      <c r="B19" s="5" cm="1">
        <f t="array" ref="B19">IFERROR(INDEX([1]PMA!$S$2:$S$21,_xlfn.AGGREGATE(15,6,(ROW([1]PMA!$S$2:$S$500)-ROW([1]PMA!$S$2)+1)/([1]PMA!$H$2:$H$21=$A19),
COUNTIF($A$3:$A19,$A19)
)),
"")</f>
        <v>0</v>
      </c>
    </row>
    <row r="20" spans="1:2" x14ac:dyDescent="0.35">
      <c r="A20" s="58" t="s">
        <v>22</v>
      </c>
      <c r="B20" s="5" cm="1">
        <f t="array" ref="B20">IFERROR(INDEX([1]PMA!$S$2:$S$21,_xlfn.AGGREGATE(15,6,(ROW([1]PMA!$S$2:$S$500)-ROW([1]PMA!$S$2)+1)/([1]PMA!$H$2:$H$21=$A20),
COUNTIF($A$3:$A20,$A20)
)),
"")</f>
        <v>0</v>
      </c>
    </row>
    <row r="21" spans="1:2" x14ac:dyDescent="0.35">
      <c r="A21" s="58" t="s">
        <v>22</v>
      </c>
      <c r="B21" s="5" cm="1">
        <f t="array" ref="B21">IFERROR(INDEX([1]PMA!$S$2:$S$21,_xlfn.AGGREGATE(15,6,(ROW([1]PMA!$S$2:$S$500)-ROW([1]PMA!$S$2)+1)/([1]PMA!$H$2:$H$21=$A21),
COUNTIF($A$3:$A21,$A21)
)),
"")</f>
        <v>0</v>
      </c>
    </row>
    <row r="22" spans="1:2" x14ac:dyDescent="0.35">
      <c r="A22" s="58" t="s">
        <v>21</v>
      </c>
      <c r="B22" s="5" cm="1">
        <f t="array" ref="B22">IFERROR(INDEX([1]PMA!$S$2:$S$21,_xlfn.AGGREGATE(15,6,(ROW([1]PMA!$S$2:$S$500)-ROW([1]PMA!$S$2)+1)/([1]PMA!$H$2:$H$21=$A22),
COUNTIF($A$3:$A22,$A22)
)),
"")</f>
        <v>0</v>
      </c>
    </row>
    <row r="23" spans="1:2" x14ac:dyDescent="0.35">
      <c r="A23" s="59" t="s">
        <v>221</v>
      </c>
      <c r="B23" s="60">
        <f>SUM(B3:B21)</f>
        <v>1653622393959</v>
      </c>
    </row>
    <row r="39" spans="1:4" x14ac:dyDescent="0.35">
      <c r="A39" s="54" t="s">
        <v>132</v>
      </c>
      <c r="B39" s="54" t="s">
        <v>181</v>
      </c>
      <c r="D39" t="s">
        <v>187</v>
      </c>
    </row>
    <row r="40" spans="1:4" x14ac:dyDescent="0.35">
      <c r="A40" s="58" t="s">
        <v>15</v>
      </c>
      <c r="B40" s="5">
        <f>SUMIF([1]PMA!$H$2:$H$21,A40,
[1]PMA!$T$2:$T$21
)</f>
        <v>900779394479</v>
      </c>
    </row>
    <row r="41" spans="1:4" x14ac:dyDescent="0.35">
      <c r="A41" s="58" t="s">
        <v>16</v>
      </c>
      <c r="B41" s="5">
        <f>SUMIF([1]PMA!$H$2:$H$21,A41,
[1]PMA!$T$2:$T$21
)</f>
        <v>599173640844</v>
      </c>
    </row>
    <row r="42" spans="1:4" x14ac:dyDescent="0.35">
      <c r="A42" s="58" t="s">
        <v>22</v>
      </c>
      <c r="B42" s="5">
        <f>SUMIF([1]PMA!$H$2:$H$21,A42,
[1]PMA!$T$2:$T$21
)</f>
        <v>1730903276556</v>
      </c>
    </row>
    <row r="43" spans="1:4" x14ac:dyDescent="0.35">
      <c r="A43" s="58" t="s">
        <v>20</v>
      </c>
      <c r="B43" s="5">
        <f>SUMIF([1]PMA!$H$2:$H$21,A43,
[1]PMA!$T$2:$T$21
)</f>
        <v>451943072762</v>
      </c>
    </row>
    <row r="44" spans="1:4" x14ac:dyDescent="0.35">
      <c r="A44" s="58" t="s">
        <v>23</v>
      </c>
      <c r="B44" s="5">
        <f>SUMIF([1]PMA!$H$2:$H$21,A44,
[1]PMA!$T$2:$T$21
)</f>
        <v>26958245615</v>
      </c>
    </row>
    <row r="45" spans="1:4" x14ac:dyDescent="0.35">
      <c r="A45" s="58" t="s">
        <v>19</v>
      </c>
      <c r="B45" s="5">
        <f>SUMIF([1]PMA!$H$2:$H$21,A45,
[1]PMA!$T$2:$T$21
)</f>
        <v>37198927864</v>
      </c>
    </row>
    <row r="46" spans="1:4" x14ac:dyDescent="0.35">
      <c r="A46" s="58" t="s">
        <v>20</v>
      </c>
      <c r="B46" s="5">
        <f>SUMIF([1]PMA!$H$2:$H$21,A46,
[1]PMA!$T$2:$T$21
)</f>
        <v>451943072762</v>
      </c>
    </row>
    <row r="47" spans="1:4" x14ac:dyDescent="0.35">
      <c r="A47" s="58" t="s">
        <v>15</v>
      </c>
      <c r="B47" s="5">
        <f>SUMIF([1]PMA!$H$2:$H$21,A47,
[1]PMA!$T$2:$T$21
)</f>
        <v>900779394479</v>
      </c>
    </row>
    <row r="48" spans="1:4" x14ac:dyDescent="0.35">
      <c r="A48" s="58" t="s">
        <v>15</v>
      </c>
      <c r="B48" s="5">
        <f>SUMIF([1]PMA!$H$2:$H$21,A48,
[1]PMA!$T$2:$T$21
)</f>
        <v>900779394479</v>
      </c>
    </row>
    <row r="49" spans="1:3" x14ac:dyDescent="0.35">
      <c r="A49" s="63" t="s">
        <v>15</v>
      </c>
      <c r="B49" s="5">
        <f>SUMIF([1]PMA!$H$2:$H$21,A49,
[1]PMA!$T$2:$T$21
)</f>
        <v>900779394479</v>
      </c>
    </row>
    <row r="50" spans="1:3" x14ac:dyDescent="0.35">
      <c r="A50" s="61" t="s">
        <v>218</v>
      </c>
      <c r="B50" s="5">
        <f>SUMIF([1]PMA!$H$2:$H$21,A50,
[1]PMA!$T$2:$T$21
)</f>
        <v>3580448791</v>
      </c>
    </row>
    <row r="51" spans="1:3" x14ac:dyDescent="0.35">
      <c r="A51" s="64" t="s">
        <v>219</v>
      </c>
      <c r="B51" s="5">
        <f>SUMIF([1]PMA!$H$2:$H$21,A51,
[1]PMA!$T$2:$T$21
)</f>
        <v>0</v>
      </c>
    </row>
    <row r="52" spans="1:3" x14ac:dyDescent="0.35">
      <c r="A52" s="58" t="s">
        <v>219</v>
      </c>
      <c r="B52" s="5">
        <f>SUMIF([1]PMA!$H$2:$H$21,A52,
[1]PMA!$T$2:$T$21
)</f>
        <v>0</v>
      </c>
    </row>
    <row r="53" spans="1:3" x14ac:dyDescent="0.35">
      <c r="A53" s="58" t="s">
        <v>18</v>
      </c>
      <c r="B53" s="5">
        <f>SUMIF([1]PMA!$H$2:$H$21,A53,
[1]PMA!$T$2:$T$21
)</f>
        <v>0</v>
      </c>
    </row>
    <row r="54" spans="1:3" x14ac:dyDescent="0.35">
      <c r="A54" s="58" t="s">
        <v>220</v>
      </c>
      <c r="B54" s="5">
        <f>SUMIF([1]PMA!$H$2:$H$21,A54,
[1]PMA!$T$2:$T$21
)</f>
        <v>0</v>
      </c>
    </row>
    <row r="55" spans="1:3" x14ac:dyDescent="0.35">
      <c r="A55" s="61" t="s">
        <v>15</v>
      </c>
      <c r="B55" s="5">
        <f>SUMIF([1]PMA!$H$2:$H$21,A55,
[1]PMA!$T$2:$T$21
)</f>
        <v>900779394479</v>
      </c>
    </row>
    <row r="56" spans="1:3" x14ac:dyDescent="0.35">
      <c r="A56" s="58" t="s">
        <v>15</v>
      </c>
      <c r="B56" s="5">
        <f>SUMIF([1]PMA!$H$2:$H$21,A56,
[1]PMA!$T$2:$T$21
)</f>
        <v>900779394479</v>
      </c>
    </row>
    <row r="57" spans="1:3" x14ac:dyDescent="0.35">
      <c r="A57" s="58" t="s">
        <v>22</v>
      </c>
      <c r="B57" s="5">
        <f>SUMIF([1]PMA!$H$2:$H$21,A57,
[1]PMA!$T$2:$T$21
)</f>
        <v>1730903276556</v>
      </c>
    </row>
    <row r="58" spans="1:3" x14ac:dyDescent="0.35">
      <c r="A58" s="58" t="s">
        <v>22</v>
      </c>
      <c r="B58" s="5">
        <f>SUMIF([1]PMA!$H$2:$H$21,A58,
[1]PMA!$T$2:$T$21
)</f>
        <v>1730903276556</v>
      </c>
    </row>
    <row r="59" spans="1:3" x14ac:dyDescent="0.35">
      <c r="A59" s="58" t="s">
        <v>21</v>
      </c>
      <c r="B59" s="5">
        <f>SUMIF([1]PMA!$H$2:$H$21,A59,
[1]PMA!$T$2:$T$21
)</f>
        <v>10453184044</v>
      </c>
    </row>
    <row r="60" spans="1:3" x14ac:dyDescent="0.35">
      <c r="A60" s="51" t="s">
        <v>221</v>
      </c>
      <c r="B60" s="66">
        <f>SUM(B40:B52)</f>
        <v>6904818263110</v>
      </c>
      <c r="C60" t="s">
        <v>183</v>
      </c>
    </row>
    <row r="61" spans="1:3" x14ac:dyDescent="0.35">
      <c r="A61" s="62"/>
      <c r="B61" s="65"/>
    </row>
    <row r="62" spans="1:3" x14ac:dyDescent="0.35">
      <c r="A62" s="62"/>
      <c r="B62" s="65"/>
    </row>
    <row r="63" spans="1:3" x14ac:dyDescent="0.35">
      <c r="B63" s="4"/>
    </row>
  </sheetData>
  <sortState xmlns:xlrd2="http://schemas.microsoft.com/office/spreadsheetml/2017/richdata2" ref="A21:A44">
    <sortCondition ref="A21:A44"/>
  </sortState>
  <mergeCells count="1">
    <mergeCell ref="A1:B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F569-AD3F-4C63-B2D2-DFD18F3D9004}">
  <sheetPr>
    <tabColor rgb="FFFFFF00"/>
  </sheetPr>
  <dimension ref="A1:J438"/>
  <sheetViews>
    <sheetView zoomScale="49" workbookViewId="0">
      <selection activeCell="J16" sqref="J16"/>
    </sheetView>
  </sheetViews>
  <sheetFormatPr defaultRowHeight="14.5" x14ac:dyDescent="0.35"/>
  <cols>
    <col min="1" max="1" width="40.54296875" customWidth="1"/>
    <col min="2" max="2" width="19.54296875" customWidth="1"/>
    <col min="5" max="5" width="39.81640625" customWidth="1"/>
    <col min="6" max="6" width="32.1796875" customWidth="1"/>
    <col min="7" max="7" width="10.1796875" bestFit="1" customWidth="1"/>
    <col min="10" max="10" width="23.81640625" bestFit="1" customWidth="1"/>
  </cols>
  <sheetData>
    <row r="1" spans="1:10" ht="23.4" customHeight="1" x14ac:dyDescent="0.35">
      <c r="A1" s="94" t="s">
        <v>133</v>
      </c>
      <c r="B1" s="94"/>
      <c r="E1" s="94" t="s">
        <v>136</v>
      </c>
      <c r="F1" s="94"/>
      <c r="G1" s="94"/>
    </row>
    <row r="2" spans="1:10" x14ac:dyDescent="0.35">
      <c r="A2" s="71" t="s">
        <v>134</v>
      </c>
      <c r="B2" s="72" t="s">
        <v>135</v>
      </c>
      <c r="E2" s="71" t="s">
        <v>134</v>
      </c>
      <c r="F2" s="72" t="s">
        <v>135</v>
      </c>
      <c r="G2" s="54" t="s">
        <v>138</v>
      </c>
      <c r="I2" s="90" t="s">
        <v>197</v>
      </c>
      <c r="J2" s="91"/>
    </row>
    <row r="3" spans="1:10" x14ac:dyDescent="0.35">
      <c r="A3" s="58" t="s">
        <v>31</v>
      </c>
      <c r="B3" s="5" cm="1">
        <f t="array" ref="B3">IFERROR(
INDEX([1]PMDN!$T$2:$T$436,
_xlfn.AGGREGATE(15,6,
(ROW([1]PMDN!$T$2:$T$436)-ROW([1]PMDN!$T$2)+1)/
([1]PMDN!$H$2:$H$436=$A3),
COUNTIF($A$3:$A3,$A3)
)),
"")</f>
        <v>298800000</v>
      </c>
      <c r="E3" s="58" t="s">
        <v>31</v>
      </c>
      <c r="F3" s="5" cm="1">
        <f t="array" ref="F3">IFERROR(
INDEX([1]PMDN!$T$2:$T$436,
_xlfn.AGGREGATE(15,6,
(ROW([1]PMDN!$T$2:$T$436)-ROW([1]PMDN!$T$2)+1)/
([1]PMDN!$H$2:$H$436=$E3),
COUNTIF($E$3:$E3,$E3)
)),
"")</f>
        <v>298800000</v>
      </c>
      <c r="G3" s="73" t="str">
        <f>IF(F3&lt;=5000000000,"UMK","Non-UMK")</f>
        <v>UMK</v>
      </c>
      <c r="I3" s="92"/>
      <c r="J3" s="93"/>
    </row>
    <row r="4" spans="1:10" x14ac:dyDescent="0.35">
      <c r="A4" s="58" t="s">
        <v>33</v>
      </c>
      <c r="B4" s="5" cm="1">
        <f t="array" ref="B4">IFERROR(
INDEX([1]PMDN!$T$2:$T$436,
_xlfn.AGGREGATE(15,6,
(ROW([1]PMDN!$T$2:$T$436)-ROW([1]PMDN!$T$2)+1)/
([1]PMDN!$H$2:$H$436=$A4),
COUNTIF($A$3:$A4,$A4)
)),
"")</f>
        <v>8813098507</v>
      </c>
      <c r="E4" s="58" t="s">
        <v>33</v>
      </c>
      <c r="F4" s="5" cm="1">
        <f t="array" ref="F4">IFERROR(
INDEX([1]PMDN!$T$2:$T$436,
_xlfn.AGGREGATE(15,6,
(ROW([1]PMDN!$T$2:$T$436)-ROW([1]PMDN!$T$2)+1)/
([1]PMDN!$H$2:$H$436=$E4),
COUNTIF($E$3:$E4,$E4)
)),
"")</f>
        <v>8813098507</v>
      </c>
      <c r="G4" s="73" t="str">
        <f t="shared" ref="G4:G67" si="0">IF(F4&lt;=5000000000,"UMK","Non-UMK")</f>
        <v>Non-UMK</v>
      </c>
      <c r="I4" s="1" t="s">
        <v>170</v>
      </c>
      <c r="J4" s="6">
        <f>'Perperusahaan PMA'!$B$23</f>
        <v>1653622393959</v>
      </c>
    </row>
    <row r="5" spans="1:10" x14ac:dyDescent="0.35">
      <c r="A5" s="58" t="s">
        <v>222</v>
      </c>
      <c r="B5" s="5" cm="1">
        <f t="array" ref="B5">IFERROR(
INDEX([1]PMDN!$T$2:$T$436,
_xlfn.AGGREGATE(15,6,
(ROW([1]PMDN!$T$2:$T$436)-ROW([1]PMDN!$T$2)+1)/
([1]PMDN!$H$2:$H$436=$A5),
COUNTIF($A$3:$A5,$A5)
)),
"")</f>
        <v>0</v>
      </c>
      <c r="E5" s="58" t="s">
        <v>222</v>
      </c>
      <c r="F5" s="5" cm="1">
        <f t="array" ref="F5">IFERROR(
INDEX([1]PMDN!$T$2:$T$436,
_xlfn.AGGREGATE(15,6,
(ROW([1]PMDN!$T$2:$T$436)-ROW([1]PMDN!$T$2)+1)/
([1]PMDN!$H$2:$H$436=$E5),
COUNTIF($E$3:$E5,$E5)
)),
"")</f>
        <v>0</v>
      </c>
      <c r="G5" s="73" t="str">
        <f t="shared" si="0"/>
        <v>UMK</v>
      </c>
      <c r="I5" s="1" t="s">
        <v>169</v>
      </c>
      <c r="J5" s="6">
        <f>F438</f>
        <v>16350571119096</v>
      </c>
    </row>
    <row r="6" spans="1:10" x14ac:dyDescent="0.35">
      <c r="A6" s="58" t="s">
        <v>49</v>
      </c>
      <c r="B6" s="5" cm="1">
        <f t="array" ref="B6">IFERROR(
INDEX([1]PMDN!$T$2:$T$436,
_xlfn.AGGREGATE(15,6,
(ROW([1]PMDN!$T$2:$T$436)-ROW([1]PMDN!$T$2)+1)/
([1]PMDN!$H$2:$H$436=$A6),
COUNTIF($A$3:$A6,$A6)
)),
"")</f>
        <v>91399507077</v>
      </c>
      <c r="E6" s="58" t="s">
        <v>49</v>
      </c>
      <c r="F6" s="5" cm="1">
        <f t="array" ref="F6">IFERROR(
INDEX([1]PMDN!$T$2:$T$436,
_xlfn.AGGREGATE(15,6,
(ROW([1]PMDN!$T$2:$T$436)-ROW([1]PMDN!$T$2)+1)/
([1]PMDN!$H$2:$H$436=$E6),
COUNTIF($E$3:$E6,$E6)
)),
"")</f>
        <v>91399507077</v>
      </c>
      <c r="G6" s="73" t="str">
        <f t="shared" si="0"/>
        <v>Non-UMK</v>
      </c>
      <c r="I6" s="51" t="s">
        <v>216</v>
      </c>
      <c r="J6" s="60">
        <f>SUM(J4+J5)</f>
        <v>18004193513055</v>
      </c>
    </row>
    <row r="7" spans="1:10" x14ac:dyDescent="0.35">
      <c r="A7" s="58" t="s">
        <v>50</v>
      </c>
      <c r="B7" s="5" cm="1">
        <f t="array" ref="B7">IFERROR(
INDEX([1]PMDN!$T$2:$T$436,
_xlfn.AGGREGATE(15,6,
(ROW([1]PMDN!$T$2:$T$436)-ROW([1]PMDN!$T$2)+1)/
([1]PMDN!$H$2:$H$436=$A7),
COUNTIF($A$3:$A7,$A7)
)),
"")</f>
        <v>15959794416</v>
      </c>
      <c r="E7" s="58" t="s">
        <v>50</v>
      </c>
      <c r="F7" s="5" cm="1">
        <f t="array" ref="F7">IFERROR(
INDEX([1]PMDN!$T$2:$T$436,
_xlfn.AGGREGATE(15,6,
(ROW([1]PMDN!$T$2:$T$436)-ROW([1]PMDN!$T$2)+1)/
([1]PMDN!$H$2:$H$436=$E7),
COUNTIF($E$3:$E7,$E7)
)),
"")</f>
        <v>15959794416</v>
      </c>
      <c r="G7" s="73" t="str">
        <f t="shared" si="0"/>
        <v>Non-UMK</v>
      </c>
      <c r="J7" s="103"/>
    </row>
    <row r="8" spans="1:10" x14ac:dyDescent="0.35">
      <c r="A8" s="58" t="s">
        <v>50</v>
      </c>
      <c r="B8" s="5" cm="1">
        <f t="array" ref="B8">IFERROR(
INDEX([1]PMDN!$T$2:$T$436,
_xlfn.AGGREGATE(15,6,
(ROW([1]PMDN!$T$2:$T$436)-ROW([1]PMDN!$T$2)+1)/
([1]PMDN!$H$2:$H$436=$A8),
COUNTIF($A$3:$A8,$A8)
)),
"")</f>
        <v>0</v>
      </c>
      <c r="E8" s="58" t="s">
        <v>50</v>
      </c>
      <c r="F8" s="5" cm="1">
        <f t="array" ref="F8">IFERROR(
INDEX([1]PMDN!$T$2:$T$436,
_xlfn.AGGREGATE(15,6,
(ROW([1]PMDN!$T$2:$T$436)-ROW([1]PMDN!$T$2)+1)/
([1]PMDN!$H$2:$H$436=$E8),
COUNTIF($E$3:$E8,$E8)
)),
"")</f>
        <v>0</v>
      </c>
      <c r="G8" s="73" t="str">
        <f t="shared" si="0"/>
        <v>UMK</v>
      </c>
    </row>
    <row r="9" spans="1:10" x14ac:dyDescent="0.35">
      <c r="A9" s="58" t="s">
        <v>50</v>
      </c>
      <c r="B9" s="5" cm="1">
        <f t="array" ref="B9">IFERROR(
INDEX([1]PMDN!$T$2:$T$436,
_xlfn.AGGREGATE(15,6,
(ROW([1]PMDN!$T$2:$T$436)-ROW([1]PMDN!$T$2)+1)/
([1]PMDN!$H$2:$H$436=$A9),
COUNTIF($A$3:$A9,$A9)
)),
"")</f>
        <v>0</v>
      </c>
      <c r="E9" s="58" t="s">
        <v>50</v>
      </c>
      <c r="F9" s="5" cm="1">
        <f t="array" ref="F9">IFERROR(
INDEX([1]PMDN!$T$2:$T$436,
_xlfn.AGGREGATE(15,6,
(ROW([1]PMDN!$T$2:$T$436)-ROW([1]PMDN!$T$2)+1)/
([1]PMDN!$H$2:$H$436=$E9),
COUNTIF($E$3:$E9,$E9)
)),
"")</f>
        <v>0</v>
      </c>
      <c r="G9" s="73" t="str">
        <f t="shared" si="0"/>
        <v>UMK</v>
      </c>
    </row>
    <row r="10" spans="1:10" x14ac:dyDescent="0.35">
      <c r="A10" s="58" t="s">
        <v>50</v>
      </c>
      <c r="B10" s="5" cm="1">
        <f t="array" ref="B10">IFERROR(
INDEX([1]PMDN!$T$2:$T$436,
_xlfn.AGGREGATE(15,6,
(ROW([1]PMDN!$T$2:$T$436)-ROW([1]PMDN!$T$2)+1)/
([1]PMDN!$H$2:$H$436=$A10),
COUNTIF($A$3:$A10,$A10)
)),
"")</f>
        <v>0</v>
      </c>
      <c r="E10" s="58" t="s">
        <v>50</v>
      </c>
      <c r="F10" s="5" cm="1">
        <f t="array" ref="F10">IFERROR(
INDEX([1]PMDN!$T$2:$T$436,
_xlfn.AGGREGATE(15,6,
(ROW([1]PMDN!$T$2:$T$436)-ROW([1]PMDN!$T$2)+1)/
([1]PMDN!$H$2:$H$436=$E10),
COUNTIF($E$3:$E10,$E10)
)),
"")</f>
        <v>0</v>
      </c>
      <c r="G10" s="73" t="str">
        <f t="shared" si="0"/>
        <v>UMK</v>
      </c>
    </row>
    <row r="11" spans="1:10" x14ac:dyDescent="0.35">
      <c r="A11" s="58" t="s">
        <v>50</v>
      </c>
      <c r="B11" s="5" cm="1">
        <f t="array" ref="B11">IFERROR(
INDEX([1]PMDN!$T$2:$T$436,
_xlfn.AGGREGATE(15,6,
(ROW([1]PMDN!$T$2:$T$436)-ROW([1]PMDN!$T$2)+1)/
([1]PMDN!$H$2:$H$436=$A11),
COUNTIF($A$3:$A11,$A11)
)),
"")</f>
        <v>8427000</v>
      </c>
      <c r="E11" s="58" t="s">
        <v>50</v>
      </c>
      <c r="F11" s="5" cm="1">
        <f t="array" ref="F11">IFERROR(
INDEX([1]PMDN!$T$2:$T$436,
_xlfn.AGGREGATE(15,6,
(ROW([1]PMDN!$T$2:$T$436)-ROW([1]PMDN!$T$2)+1)/
([1]PMDN!$H$2:$H$436=$E11),
COUNTIF($E$3:$E11,$E11)
)),
"")</f>
        <v>8427000</v>
      </c>
      <c r="G11" s="73" t="str">
        <f t="shared" si="0"/>
        <v>UMK</v>
      </c>
      <c r="J11">
        <f>J4/J6*100</f>
        <v>9.184651302264351</v>
      </c>
    </row>
    <row r="12" spans="1:10" x14ac:dyDescent="0.35">
      <c r="A12" s="58" t="s">
        <v>50</v>
      </c>
      <c r="B12" s="5" cm="1">
        <f t="array" ref="B12">IFERROR(
INDEX([1]PMDN!$T$2:$T$436,
_xlfn.AGGREGATE(15,6,
(ROW([1]PMDN!$T$2:$T$436)-ROW([1]PMDN!$T$2)+1)/
([1]PMDN!$H$2:$H$436=$A12),
COUNTIF($A$3:$A12,$A12)
)),
"")</f>
        <v>0</v>
      </c>
      <c r="E12" s="58" t="s">
        <v>50</v>
      </c>
      <c r="F12" s="5" cm="1">
        <f t="array" ref="F12">IFERROR(
INDEX([1]PMDN!$T$2:$T$436,
_xlfn.AGGREGATE(15,6,
(ROW([1]PMDN!$T$2:$T$436)-ROW([1]PMDN!$T$2)+1)/
([1]PMDN!$H$2:$H$436=$E12),
COUNTIF($E$3:$E12,$E12)
)),
"")</f>
        <v>0</v>
      </c>
      <c r="G12" s="73" t="str">
        <f t="shared" si="0"/>
        <v>UMK</v>
      </c>
      <c r="J12">
        <f>J5/J6*100</f>
        <v>90.815348697735644</v>
      </c>
    </row>
    <row r="13" spans="1:10" x14ac:dyDescent="0.35">
      <c r="A13" s="58" t="s">
        <v>50</v>
      </c>
      <c r="B13" s="5" cm="1">
        <f t="array" ref="B13">IFERROR(
INDEX([1]PMDN!$T$2:$T$436,
_xlfn.AGGREGATE(15,6,
(ROW([1]PMDN!$T$2:$T$436)-ROW([1]PMDN!$T$2)+1)/
([1]PMDN!$H$2:$H$436=$A13),
COUNTIF($A$3:$A13,$A13)
)),
"")</f>
        <v>0</v>
      </c>
      <c r="E13" s="58" t="s">
        <v>50</v>
      </c>
      <c r="F13" s="5" cm="1">
        <f t="array" ref="F13">IFERROR(
INDEX([1]PMDN!$T$2:$T$436,
_xlfn.AGGREGATE(15,6,
(ROW([1]PMDN!$T$2:$T$436)-ROW([1]PMDN!$T$2)+1)/
([1]PMDN!$H$2:$H$436=$E13),
COUNTIF($E$3:$E13,$E13)
)),
"")</f>
        <v>0</v>
      </c>
      <c r="G13" s="73" t="str">
        <f t="shared" si="0"/>
        <v>UMK</v>
      </c>
    </row>
    <row r="14" spans="1:10" x14ac:dyDescent="0.35">
      <c r="A14" s="58" t="s">
        <v>50</v>
      </c>
      <c r="B14" s="5" cm="1">
        <f t="array" ref="B14">IFERROR(
INDEX([1]PMDN!$T$2:$T$436,
_xlfn.AGGREGATE(15,6,
(ROW([1]PMDN!$T$2:$T$436)-ROW([1]PMDN!$T$2)+1)/
([1]PMDN!$H$2:$H$436=$A14),
COUNTIF($A$3:$A14,$A14)
)),
"")</f>
        <v>0</v>
      </c>
      <c r="E14" s="58" t="s">
        <v>50</v>
      </c>
      <c r="F14" s="5" cm="1">
        <f t="array" ref="F14">IFERROR(
INDEX([1]PMDN!$T$2:$T$436,
_xlfn.AGGREGATE(15,6,
(ROW([1]PMDN!$T$2:$T$436)-ROW([1]PMDN!$T$2)+1)/
([1]PMDN!$H$2:$H$436=$E14),
COUNTIF($E$3:$E14,$E14)
)),
"")</f>
        <v>0</v>
      </c>
      <c r="G14" s="73" t="str">
        <f t="shared" si="0"/>
        <v>UMK</v>
      </c>
    </row>
    <row r="15" spans="1:10" x14ac:dyDescent="0.35">
      <c r="A15" s="58" t="s">
        <v>51</v>
      </c>
      <c r="B15" s="5" cm="1">
        <f t="array" ref="B15">IFERROR(
INDEX([1]PMDN!$T$2:$T$436,
_xlfn.AGGREGATE(15,6,
(ROW([1]PMDN!$T$2:$T$436)-ROW([1]PMDN!$T$2)+1)/
([1]PMDN!$H$2:$H$436=$A15),
COUNTIF($A$3:$A15,$A15)
)),
"")</f>
        <v>7917062009</v>
      </c>
      <c r="E15" s="58" t="s">
        <v>51</v>
      </c>
      <c r="F15" s="5" cm="1">
        <f t="array" ref="F15">IFERROR(
INDEX([1]PMDN!$T$2:$T$436,
_xlfn.AGGREGATE(15,6,
(ROW([1]PMDN!$T$2:$T$436)-ROW([1]PMDN!$T$2)+1)/
([1]PMDN!$H$2:$H$436=$E15),
COUNTIF($E$3:$E15,$E15)
)),
"")</f>
        <v>7917062009</v>
      </c>
      <c r="G15" s="73" t="str">
        <f t="shared" si="0"/>
        <v>Non-UMK</v>
      </c>
      <c r="I15" t="s">
        <v>169</v>
      </c>
      <c r="J15" s="15">
        <f>J4/J6</f>
        <v>9.1846513022643517E-2</v>
      </c>
    </row>
    <row r="16" spans="1:10" x14ac:dyDescent="0.35">
      <c r="A16" s="58" t="s">
        <v>53</v>
      </c>
      <c r="B16" s="5" cm="1">
        <f t="array" ref="B16">IFERROR(
INDEX([1]PMDN!$T$2:$T$436,
_xlfn.AGGREGATE(15,6,
(ROW([1]PMDN!$T$2:$T$436)-ROW([1]PMDN!$T$2)+1)/
([1]PMDN!$H$2:$H$436=$A16),
COUNTIF($A$3:$A16,$A16)
)),
"")</f>
        <v>641640467848</v>
      </c>
      <c r="E16" s="58" t="s">
        <v>53</v>
      </c>
      <c r="F16" s="5" cm="1">
        <f t="array" ref="F16">IFERROR(
INDEX([1]PMDN!$T$2:$T$436,
_xlfn.AGGREGATE(15,6,
(ROW([1]PMDN!$T$2:$T$436)-ROW([1]PMDN!$T$2)+1)/
([1]PMDN!$H$2:$H$436=$E16),
COUNTIF($E$3:$E16,$E16)
)),
"")</f>
        <v>641640467848</v>
      </c>
      <c r="G16" s="73" t="str">
        <f t="shared" si="0"/>
        <v>Non-UMK</v>
      </c>
      <c r="I16" t="s">
        <v>170</v>
      </c>
      <c r="J16" s="15">
        <f>J5/J6</f>
        <v>0.90815348697735643</v>
      </c>
    </row>
    <row r="17" spans="1:7" x14ac:dyDescent="0.35">
      <c r="A17" s="58" t="s">
        <v>53</v>
      </c>
      <c r="B17" s="5" cm="1">
        <f t="array" ref="B17">IFERROR(
INDEX([1]PMDN!$T$2:$T$436,
_xlfn.AGGREGATE(15,6,
(ROW([1]PMDN!$T$2:$T$436)-ROW([1]PMDN!$T$2)+1)/
([1]PMDN!$H$2:$H$436=$A17),
COUNTIF($A$3:$A17,$A17)
)),
"")</f>
        <v>0</v>
      </c>
      <c r="E17" s="58" t="s">
        <v>53</v>
      </c>
      <c r="F17" s="5" cm="1">
        <f t="array" ref="F17">IFERROR(
INDEX([1]PMDN!$T$2:$T$436,
_xlfn.AGGREGATE(15,6,
(ROW([1]PMDN!$T$2:$T$436)-ROW([1]PMDN!$T$2)+1)/
([1]PMDN!$H$2:$H$436=$E17),
COUNTIF($E$3:$E17,$E17)
)),
"")</f>
        <v>0</v>
      </c>
      <c r="G17" s="73" t="str">
        <f t="shared" si="0"/>
        <v>UMK</v>
      </c>
    </row>
    <row r="18" spans="1:7" x14ac:dyDescent="0.35">
      <c r="A18" s="58" t="s">
        <v>53</v>
      </c>
      <c r="B18" s="5" cm="1">
        <f t="array" ref="B18">IFERROR(
INDEX([1]PMDN!$T$2:$T$436,
_xlfn.AGGREGATE(15,6,
(ROW([1]PMDN!$T$2:$T$436)-ROW([1]PMDN!$T$2)+1)/
([1]PMDN!$H$2:$H$436=$A18),
COUNTIF($A$3:$A18,$A18)
)),
"")</f>
        <v>0</v>
      </c>
      <c r="E18" s="58" t="s">
        <v>53</v>
      </c>
      <c r="F18" s="5" cm="1">
        <f t="array" ref="F18">IFERROR(
INDEX([1]PMDN!$T$2:$T$436,
_xlfn.AGGREGATE(15,6,
(ROW([1]PMDN!$T$2:$T$436)-ROW([1]PMDN!$T$2)+1)/
([1]PMDN!$H$2:$H$436=$E18),
COUNTIF($E$3:$E18,$E18)
)),
"")</f>
        <v>0</v>
      </c>
      <c r="G18" s="73" t="str">
        <f t="shared" si="0"/>
        <v>UMK</v>
      </c>
    </row>
    <row r="19" spans="1:7" x14ac:dyDescent="0.35">
      <c r="A19" s="58" t="s">
        <v>53</v>
      </c>
      <c r="B19" s="5" cm="1">
        <f t="array" ref="B19">IFERROR(
INDEX([1]PMDN!$T$2:$T$436,
_xlfn.AGGREGATE(15,6,
(ROW([1]PMDN!$T$2:$T$436)-ROW([1]PMDN!$T$2)+1)/
([1]PMDN!$H$2:$H$436=$A19),
COUNTIF($A$3:$A19,$A19)
)),
"")</f>
        <v>0</v>
      </c>
      <c r="E19" s="58" t="s">
        <v>53</v>
      </c>
      <c r="F19" s="5" cm="1">
        <f t="array" ref="F19">IFERROR(
INDEX([1]PMDN!$T$2:$T$436,
_xlfn.AGGREGATE(15,6,
(ROW([1]PMDN!$T$2:$T$436)-ROW([1]PMDN!$T$2)+1)/
([1]PMDN!$H$2:$H$436=$E19),
COUNTIF($E$3:$E19,$E19)
)),
"")</f>
        <v>0</v>
      </c>
      <c r="G19" s="73" t="str">
        <f t="shared" si="0"/>
        <v>UMK</v>
      </c>
    </row>
    <row r="20" spans="1:7" x14ac:dyDescent="0.35">
      <c r="A20" s="58" t="s">
        <v>53</v>
      </c>
      <c r="B20" s="5" cm="1">
        <f t="array" ref="B20">IFERROR(
INDEX([1]PMDN!$T$2:$T$436,
_xlfn.AGGREGATE(15,6,
(ROW([1]PMDN!$T$2:$T$436)-ROW([1]PMDN!$T$2)+1)/
([1]PMDN!$H$2:$H$436=$A20),
COUNTIF($A$3:$A20,$A20)
)),
"")</f>
        <v>0</v>
      </c>
      <c r="E20" s="58" t="s">
        <v>53</v>
      </c>
      <c r="F20" s="5" cm="1">
        <f t="array" ref="F20">IFERROR(
INDEX([1]PMDN!$T$2:$T$436,
_xlfn.AGGREGATE(15,6,
(ROW([1]PMDN!$T$2:$T$436)-ROW([1]PMDN!$T$2)+1)/
([1]PMDN!$H$2:$H$436=$E20),
COUNTIF($E$3:$E20,$E20)
)),
"")</f>
        <v>0</v>
      </c>
      <c r="G20" s="73" t="str">
        <f t="shared" si="0"/>
        <v>UMK</v>
      </c>
    </row>
    <row r="21" spans="1:7" x14ac:dyDescent="0.35">
      <c r="A21" s="58" t="s">
        <v>53</v>
      </c>
      <c r="B21" s="5" cm="1">
        <f t="array" ref="B21">IFERROR(
INDEX([1]PMDN!$T$2:$T$436,
_xlfn.AGGREGATE(15,6,
(ROW([1]PMDN!$T$2:$T$436)-ROW([1]PMDN!$T$2)+1)/
([1]PMDN!$H$2:$H$436=$A21),
COUNTIF($A$3:$A21,$A21)
)),
"")</f>
        <v>0</v>
      </c>
      <c r="E21" s="58" t="s">
        <v>53</v>
      </c>
      <c r="F21" s="5" cm="1">
        <f t="array" ref="F21">IFERROR(
INDEX([1]PMDN!$T$2:$T$436,
_xlfn.AGGREGATE(15,6,
(ROW([1]PMDN!$T$2:$T$436)-ROW([1]PMDN!$T$2)+1)/
([1]PMDN!$H$2:$H$436=$E21),
COUNTIF($E$3:$E21,$E21)
)),
"")</f>
        <v>0</v>
      </c>
      <c r="G21" s="73" t="str">
        <f t="shared" si="0"/>
        <v>UMK</v>
      </c>
    </row>
    <row r="22" spans="1:7" x14ac:dyDescent="0.35">
      <c r="A22" s="58" t="s">
        <v>53</v>
      </c>
      <c r="B22" s="5" cm="1">
        <f t="array" ref="B22">IFERROR(
INDEX([1]PMDN!$T$2:$T$436,
_xlfn.AGGREGATE(15,6,
(ROW([1]PMDN!$T$2:$T$436)-ROW([1]PMDN!$T$2)+1)/
([1]PMDN!$H$2:$H$436=$A22),
COUNTIF($A$3:$A22,$A22)
)),
"")</f>
        <v>0</v>
      </c>
      <c r="E22" s="58" t="s">
        <v>53</v>
      </c>
      <c r="F22" s="5" cm="1">
        <f t="array" ref="F22">IFERROR(
INDEX([1]PMDN!$T$2:$T$436,
_xlfn.AGGREGATE(15,6,
(ROW([1]PMDN!$T$2:$T$436)-ROW([1]PMDN!$T$2)+1)/
([1]PMDN!$H$2:$H$436=$E22),
COUNTIF($E$3:$E22,$E22)
)),
"")</f>
        <v>0</v>
      </c>
      <c r="G22" s="73" t="str">
        <f t="shared" si="0"/>
        <v>UMK</v>
      </c>
    </row>
    <row r="23" spans="1:7" x14ac:dyDescent="0.35">
      <c r="A23" s="58" t="s">
        <v>53</v>
      </c>
      <c r="B23" s="5" cm="1">
        <f t="array" ref="B23">IFERROR(
INDEX([1]PMDN!$T$2:$T$436,
_xlfn.AGGREGATE(15,6,
(ROW([1]PMDN!$T$2:$T$436)-ROW([1]PMDN!$T$2)+1)/
([1]PMDN!$H$2:$H$436=$A23),
COUNTIF($A$3:$A23,$A23)
)),
"")</f>
        <v>0</v>
      </c>
      <c r="E23" s="58" t="s">
        <v>53</v>
      </c>
      <c r="F23" s="5" cm="1">
        <f t="array" ref="F23">IFERROR(
INDEX([1]PMDN!$T$2:$T$436,
_xlfn.AGGREGATE(15,6,
(ROW([1]PMDN!$T$2:$T$436)-ROW([1]PMDN!$T$2)+1)/
([1]PMDN!$H$2:$H$436=$E23),
COUNTIF($E$3:$E23,$E23)
)),
"")</f>
        <v>0</v>
      </c>
      <c r="G23" s="73" t="str">
        <f t="shared" si="0"/>
        <v>UMK</v>
      </c>
    </row>
    <row r="24" spans="1:7" x14ac:dyDescent="0.35">
      <c r="A24" s="58" t="s">
        <v>53</v>
      </c>
      <c r="B24" s="5" cm="1">
        <f t="array" ref="B24">IFERROR(
INDEX([1]PMDN!$T$2:$T$436,
_xlfn.AGGREGATE(15,6,
(ROW([1]PMDN!$T$2:$T$436)-ROW([1]PMDN!$T$2)+1)/
([1]PMDN!$H$2:$H$436=$A24),
COUNTIF($A$3:$A24,$A24)
)),
"")</f>
        <v>0</v>
      </c>
      <c r="E24" s="58" t="s">
        <v>53</v>
      </c>
      <c r="F24" s="5" cm="1">
        <f t="array" ref="F24">IFERROR(
INDEX([1]PMDN!$T$2:$T$436,
_xlfn.AGGREGATE(15,6,
(ROW([1]PMDN!$T$2:$T$436)-ROW([1]PMDN!$T$2)+1)/
([1]PMDN!$H$2:$H$436=$E24),
COUNTIF($E$3:$E24,$E24)
)),
"")</f>
        <v>0</v>
      </c>
      <c r="G24" s="73" t="str">
        <f t="shared" si="0"/>
        <v>UMK</v>
      </c>
    </row>
    <row r="25" spans="1:7" x14ac:dyDescent="0.35">
      <c r="A25" s="58" t="s">
        <v>53</v>
      </c>
      <c r="B25" s="5" cm="1">
        <f t="array" ref="B25">IFERROR(
INDEX([1]PMDN!$T$2:$T$436,
_xlfn.AGGREGATE(15,6,
(ROW([1]PMDN!$T$2:$T$436)-ROW([1]PMDN!$T$2)+1)/
([1]PMDN!$H$2:$H$436=$A25),
COUNTIF($A$3:$A25,$A25)
)),
"")</f>
        <v>0</v>
      </c>
      <c r="E25" s="58" t="s">
        <v>53</v>
      </c>
      <c r="F25" s="5" cm="1">
        <f t="array" ref="F25">IFERROR(
INDEX([1]PMDN!$T$2:$T$436,
_xlfn.AGGREGATE(15,6,
(ROW([1]PMDN!$T$2:$T$436)-ROW([1]PMDN!$T$2)+1)/
([1]PMDN!$H$2:$H$436=$E25),
COUNTIF($E$3:$E25,$E25)
)),
"")</f>
        <v>0</v>
      </c>
      <c r="G25" s="73" t="str">
        <f t="shared" si="0"/>
        <v>UMK</v>
      </c>
    </row>
    <row r="26" spans="1:7" x14ac:dyDescent="0.35">
      <c r="A26" s="58" t="s">
        <v>53</v>
      </c>
      <c r="B26" s="5" cm="1">
        <f t="array" ref="B26">IFERROR(
INDEX([1]PMDN!$T$2:$T$436,
_xlfn.AGGREGATE(15,6,
(ROW([1]PMDN!$T$2:$T$436)-ROW([1]PMDN!$T$2)+1)/
([1]PMDN!$H$2:$H$436=$A26),
COUNTIF($A$3:$A26,$A26)
)),
"")</f>
        <v>0</v>
      </c>
      <c r="E26" s="58" t="s">
        <v>53</v>
      </c>
      <c r="F26" s="5" cm="1">
        <f t="array" ref="F26">IFERROR(
INDEX([1]PMDN!$T$2:$T$436,
_xlfn.AGGREGATE(15,6,
(ROW([1]PMDN!$T$2:$T$436)-ROW([1]PMDN!$T$2)+1)/
([1]PMDN!$H$2:$H$436=$E26),
COUNTIF($E$3:$E26,$E26)
)),
"")</f>
        <v>0</v>
      </c>
      <c r="G26" s="73" t="str">
        <f t="shared" si="0"/>
        <v>UMK</v>
      </c>
    </row>
    <row r="27" spans="1:7" x14ac:dyDescent="0.35">
      <c r="A27" s="58" t="s">
        <v>53</v>
      </c>
      <c r="B27" s="5" cm="1">
        <f t="array" ref="B27">IFERROR(
INDEX([1]PMDN!$T$2:$T$436,
_xlfn.AGGREGATE(15,6,
(ROW([1]PMDN!$T$2:$T$436)-ROW([1]PMDN!$T$2)+1)/
([1]PMDN!$H$2:$H$436=$A27),
COUNTIF($A$3:$A27,$A27)
)),
"")</f>
        <v>0</v>
      </c>
      <c r="E27" s="58" t="s">
        <v>53</v>
      </c>
      <c r="F27" s="5" cm="1">
        <f t="array" ref="F27">IFERROR(
INDEX([1]PMDN!$T$2:$T$436,
_xlfn.AGGREGATE(15,6,
(ROW([1]PMDN!$T$2:$T$436)-ROW([1]PMDN!$T$2)+1)/
([1]PMDN!$H$2:$H$436=$E27),
COUNTIF($E$3:$E27,$E27)
)),
"")</f>
        <v>0</v>
      </c>
      <c r="G27" s="73" t="str">
        <f t="shared" si="0"/>
        <v>UMK</v>
      </c>
    </row>
    <row r="28" spans="1:7" x14ac:dyDescent="0.35">
      <c r="A28" s="58" t="s">
        <v>53</v>
      </c>
      <c r="B28" s="5" cm="1">
        <f t="array" ref="B28">IFERROR(
INDEX([1]PMDN!$T$2:$T$436,
_xlfn.AGGREGATE(15,6,
(ROW([1]PMDN!$T$2:$T$436)-ROW([1]PMDN!$T$2)+1)/
([1]PMDN!$H$2:$H$436=$A28),
COUNTIF($A$3:$A28,$A28)
)),
"")</f>
        <v>0</v>
      </c>
      <c r="E28" s="58" t="s">
        <v>53</v>
      </c>
      <c r="F28" s="5" cm="1">
        <f t="array" ref="F28">IFERROR(
INDEX([1]PMDN!$T$2:$T$436,
_xlfn.AGGREGATE(15,6,
(ROW([1]PMDN!$T$2:$T$436)-ROW([1]PMDN!$T$2)+1)/
([1]PMDN!$H$2:$H$436=$E28),
COUNTIF($E$3:$E28,$E28)
)),
"")</f>
        <v>0</v>
      </c>
      <c r="G28" s="73" t="str">
        <f t="shared" si="0"/>
        <v>UMK</v>
      </c>
    </row>
    <row r="29" spans="1:7" x14ac:dyDescent="0.35">
      <c r="A29" s="58" t="s">
        <v>53</v>
      </c>
      <c r="B29" s="5" cm="1">
        <f t="array" ref="B29">IFERROR(
INDEX([1]PMDN!$T$2:$T$436,
_xlfn.AGGREGATE(15,6,
(ROW([1]PMDN!$T$2:$T$436)-ROW([1]PMDN!$T$2)+1)/
([1]PMDN!$H$2:$H$436=$A29),
COUNTIF($A$3:$A29,$A29)
)),
"")</f>
        <v>0</v>
      </c>
      <c r="E29" s="58" t="s">
        <v>53</v>
      </c>
      <c r="F29" s="5" cm="1">
        <f t="array" ref="F29">IFERROR(
INDEX([1]PMDN!$T$2:$T$436,
_xlfn.AGGREGATE(15,6,
(ROW([1]PMDN!$T$2:$T$436)-ROW([1]PMDN!$T$2)+1)/
([1]PMDN!$H$2:$H$436=$E29),
COUNTIF($E$3:$E29,$E29)
)),
"")</f>
        <v>0</v>
      </c>
      <c r="G29" s="73" t="str">
        <f t="shared" si="0"/>
        <v>UMK</v>
      </c>
    </row>
    <row r="30" spans="1:7" x14ac:dyDescent="0.35">
      <c r="A30" s="58" t="s">
        <v>53</v>
      </c>
      <c r="B30" s="5" cm="1">
        <f t="array" ref="B30">IFERROR(
INDEX([1]PMDN!$T$2:$T$436,
_xlfn.AGGREGATE(15,6,
(ROW([1]PMDN!$T$2:$T$436)-ROW([1]PMDN!$T$2)+1)/
([1]PMDN!$H$2:$H$436=$A30),
COUNTIF($A$3:$A30,$A30)
)),
"")</f>
        <v>0</v>
      </c>
      <c r="E30" s="58" t="s">
        <v>53</v>
      </c>
      <c r="F30" s="5" cm="1">
        <f t="array" ref="F30">IFERROR(
INDEX([1]PMDN!$T$2:$T$436,
_xlfn.AGGREGATE(15,6,
(ROW([1]PMDN!$T$2:$T$436)-ROW([1]PMDN!$T$2)+1)/
([1]PMDN!$H$2:$H$436=$E30),
COUNTIF($E$3:$E30,$E30)
)),
"")</f>
        <v>0</v>
      </c>
      <c r="G30" s="73" t="str">
        <f t="shared" si="0"/>
        <v>UMK</v>
      </c>
    </row>
    <row r="31" spans="1:7" x14ac:dyDescent="0.35">
      <c r="A31" s="58" t="s">
        <v>53</v>
      </c>
      <c r="B31" s="5" cm="1">
        <f t="array" ref="B31">IFERROR(
INDEX([1]PMDN!$T$2:$T$436,
_xlfn.AGGREGATE(15,6,
(ROW([1]PMDN!$T$2:$T$436)-ROW([1]PMDN!$T$2)+1)/
([1]PMDN!$H$2:$H$436=$A31),
COUNTIF($A$3:$A31,$A31)
)),
"")</f>
        <v>0</v>
      </c>
      <c r="E31" s="58" t="s">
        <v>53</v>
      </c>
      <c r="F31" s="5" cm="1">
        <f t="array" ref="F31">IFERROR(
INDEX([1]PMDN!$T$2:$T$436,
_xlfn.AGGREGATE(15,6,
(ROW([1]PMDN!$T$2:$T$436)-ROW([1]PMDN!$T$2)+1)/
([1]PMDN!$H$2:$H$436=$E31),
COUNTIF($E$3:$E31,$E31)
)),
"")</f>
        <v>0</v>
      </c>
      <c r="G31" s="73" t="str">
        <f t="shared" si="0"/>
        <v>UMK</v>
      </c>
    </row>
    <row r="32" spans="1:7" x14ac:dyDescent="0.35">
      <c r="A32" s="58" t="s">
        <v>53</v>
      </c>
      <c r="B32" s="5" cm="1">
        <f t="array" ref="B32">IFERROR(
INDEX([1]PMDN!$T$2:$T$436,
_xlfn.AGGREGATE(15,6,
(ROW([1]PMDN!$T$2:$T$436)-ROW([1]PMDN!$T$2)+1)/
([1]PMDN!$H$2:$H$436=$A32),
COUNTIF($A$3:$A32,$A32)
)),
"")</f>
        <v>0</v>
      </c>
      <c r="E32" s="58" t="s">
        <v>53</v>
      </c>
      <c r="F32" s="5" cm="1">
        <f t="array" ref="F32">IFERROR(
INDEX([1]PMDN!$T$2:$T$436,
_xlfn.AGGREGATE(15,6,
(ROW([1]PMDN!$T$2:$T$436)-ROW([1]PMDN!$T$2)+1)/
([1]PMDN!$H$2:$H$436=$E32),
COUNTIF($E$3:$E32,$E32)
)),
"")</f>
        <v>0</v>
      </c>
      <c r="G32" s="73" t="str">
        <f t="shared" si="0"/>
        <v>UMK</v>
      </c>
    </row>
    <row r="33" spans="1:7" x14ac:dyDescent="0.35">
      <c r="A33" s="58" t="s">
        <v>53</v>
      </c>
      <c r="B33" s="5" cm="1">
        <f t="array" ref="B33">IFERROR(
INDEX([1]PMDN!$T$2:$T$436,
_xlfn.AGGREGATE(15,6,
(ROW([1]PMDN!$T$2:$T$436)-ROW([1]PMDN!$T$2)+1)/
([1]PMDN!$H$2:$H$436=$A33),
COUNTIF($A$3:$A33,$A33)
)),
"")</f>
        <v>0</v>
      </c>
      <c r="E33" s="58" t="s">
        <v>53</v>
      </c>
      <c r="F33" s="5" cm="1">
        <f t="array" ref="F33">IFERROR(
INDEX([1]PMDN!$T$2:$T$436,
_xlfn.AGGREGATE(15,6,
(ROW([1]PMDN!$T$2:$T$436)-ROW([1]PMDN!$T$2)+1)/
([1]PMDN!$H$2:$H$436=$E33),
COUNTIF($E$3:$E33,$E33)
)),
"")</f>
        <v>0</v>
      </c>
      <c r="G33" s="73" t="str">
        <f t="shared" si="0"/>
        <v>UMK</v>
      </c>
    </row>
    <row r="34" spans="1:7" x14ac:dyDescent="0.35">
      <c r="A34" s="58" t="s">
        <v>53</v>
      </c>
      <c r="B34" s="5" cm="1">
        <f t="array" ref="B34">IFERROR(
INDEX([1]PMDN!$T$2:$T$436,
_xlfn.AGGREGATE(15,6,
(ROW([1]PMDN!$T$2:$T$436)-ROW([1]PMDN!$T$2)+1)/
([1]PMDN!$H$2:$H$436=$A34),
COUNTIF($A$3:$A34,$A34)
)),
"")</f>
        <v>0</v>
      </c>
      <c r="E34" s="58" t="s">
        <v>53</v>
      </c>
      <c r="F34" s="5" cm="1">
        <f t="array" ref="F34">IFERROR(
INDEX([1]PMDN!$T$2:$T$436,
_xlfn.AGGREGATE(15,6,
(ROW([1]PMDN!$T$2:$T$436)-ROW([1]PMDN!$T$2)+1)/
([1]PMDN!$H$2:$H$436=$E34),
COUNTIF($E$3:$E34,$E34)
)),
"")</f>
        <v>0</v>
      </c>
      <c r="G34" s="73" t="str">
        <f t="shared" si="0"/>
        <v>UMK</v>
      </c>
    </row>
    <row r="35" spans="1:7" x14ac:dyDescent="0.35">
      <c r="A35" s="58" t="s">
        <v>53</v>
      </c>
      <c r="B35" s="5" cm="1">
        <f t="array" ref="B35">IFERROR(
INDEX([1]PMDN!$T$2:$T$436,
_xlfn.AGGREGATE(15,6,
(ROW([1]PMDN!$T$2:$T$436)-ROW([1]PMDN!$T$2)+1)/
([1]PMDN!$H$2:$H$436=$A35),
COUNTIF($A$3:$A35,$A35)
)),
"")</f>
        <v>0</v>
      </c>
      <c r="E35" s="58" t="s">
        <v>53</v>
      </c>
      <c r="F35" s="5" cm="1">
        <f t="array" ref="F35">IFERROR(
INDEX([1]PMDN!$T$2:$T$436,
_xlfn.AGGREGATE(15,6,
(ROW([1]PMDN!$T$2:$T$436)-ROW([1]PMDN!$T$2)+1)/
([1]PMDN!$H$2:$H$436=$E35),
COUNTIF($E$3:$E35,$E35)
)),
"")</f>
        <v>0</v>
      </c>
      <c r="G35" s="73" t="str">
        <f t="shared" si="0"/>
        <v>UMK</v>
      </c>
    </row>
    <row r="36" spans="1:7" x14ac:dyDescent="0.35">
      <c r="A36" s="58" t="s">
        <v>53</v>
      </c>
      <c r="B36" s="5" cm="1">
        <f t="array" ref="B36">IFERROR(
INDEX([1]PMDN!$T$2:$T$436,
_xlfn.AGGREGATE(15,6,
(ROW([1]PMDN!$T$2:$T$436)-ROW([1]PMDN!$T$2)+1)/
([1]PMDN!$H$2:$H$436=$A36),
COUNTIF($A$3:$A36,$A36)
)),
"")</f>
        <v>0</v>
      </c>
      <c r="E36" s="58" t="s">
        <v>53</v>
      </c>
      <c r="F36" s="5" cm="1">
        <f t="array" ref="F36">IFERROR(
INDEX([1]PMDN!$T$2:$T$436,
_xlfn.AGGREGATE(15,6,
(ROW([1]PMDN!$T$2:$T$436)-ROW([1]PMDN!$T$2)+1)/
([1]PMDN!$H$2:$H$436=$E36),
COUNTIF($E$3:$E36,$E36)
)),
"")</f>
        <v>0</v>
      </c>
      <c r="G36" s="73" t="str">
        <f t="shared" si="0"/>
        <v>UMK</v>
      </c>
    </row>
    <row r="37" spans="1:7" x14ac:dyDescent="0.35">
      <c r="A37" s="58" t="s">
        <v>53</v>
      </c>
      <c r="B37" s="5" cm="1">
        <f t="array" ref="B37">IFERROR(
INDEX([1]PMDN!$T$2:$T$436,
_xlfn.AGGREGATE(15,6,
(ROW([1]PMDN!$T$2:$T$436)-ROW([1]PMDN!$T$2)+1)/
([1]PMDN!$H$2:$H$436=$A37),
COUNTIF($A$3:$A37,$A37)
)),
"")</f>
        <v>0</v>
      </c>
      <c r="E37" s="58" t="s">
        <v>53</v>
      </c>
      <c r="F37" s="5" cm="1">
        <f t="array" ref="F37">IFERROR(
INDEX([1]PMDN!$T$2:$T$436,
_xlfn.AGGREGATE(15,6,
(ROW([1]PMDN!$T$2:$T$436)-ROW([1]PMDN!$T$2)+1)/
([1]PMDN!$H$2:$H$436=$E37),
COUNTIF($E$3:$E37,$E37)
)),
"")</f>
        <v>0</v>
      </c>
      <c r="G37" s="73" t="str">
        <f t="shared" si="0"/>
        <v>UMK</v>
      </c>
    </row>
    <row r="38" spans="1:7" x14ac:dyDescent="0.35">
      <c r="A38" s="58" t="s">
        <v>53</v>
      </c>
      <c r="B38" s="5" cm="1">
        <f t="array" ref="B38">IFERROR(
INDEX([1]PMDN!$T$2:$T$436,
_xlfn.AGGREGATE(15,6,
(ROW([1]PMDN!$T$2:$T$436)-ROW([1]PMDN!$T$2)+1)/
([1]PMDN!$H$2:$H$436=$A38),
COUNTIF($A$3:$A38,$A38)
)),
"")</f>
        <v>0</v>
      </c>
      <c r="E38" s="58" t="s">
        <v>53</v>
      </c>
      <c r="F38" s="5" cm="1">
        <f t="array" ref="F38">IFERROR(
INDEX([1]PMDN!$T$2:$T$436,
_xlfn.AGGREGATE(15,6,
(ROW([1]PMDN!$T$2:$T$436)-ROW([1]PMDN!$T$2)+1)/
([1]PMDN!$H$2:$H$436=$E38),
COUNTIF($E$3:$E38,$E38)
)),
"")</f>
        <v>0</v>
      </c>
      <c r="G38" s="73" t="str">
        <f t="shared" si="0"/>
        <v>UMK</v>
      </c>
    </row>
    <row r="39" spans="1:7" x14ac:dyDescent="0.35">
      <c r="A39" s="58" t="s">
        <v>53</v>
      </c>
      <c r="B39" s="5" cm="1">
        <f t="array" ref="B39">IFERROR(
INDEX([1]PMDN!$T$2:$T$436,
_xlfn.AGGREGATE(15,6,
(ROW([1]PMDN!$T$2:$T$436)-ROW([1]PMDN!$T$2)+1)/
([1]PMDN!$H$2:$H$436=$A39),
COUNTIF($A$3:$A39,$A39)
)),
"")</f>
        <v>0</v>
      </c>
      <c r="E39" s="58" t="s">
        <v>53</v>
      </c>
      <c r="F39" s="5" cm="1">
        <f t="array" ref="F39">IFERROR(
INDEX([1]PMDN!$T$2:$T$436,
_xlfn.AGGREGATE(15,6,
(ROW([1]PMDN!$T$2:$T$436)-ROW([1]PMDN!$T$2)+1)/
([1]PMDN!$H$2:$H$436=$E39),
COUNTIF($E$3:$E39,$E39)
)),
"")</f>
        <v>0</v>
      </c>
      <c r="G39" s="73" t="str">
        <f t="shared" si="0"/>
        <v>UMK</v>
      </c>
    </row>
    <row r="40" spans="1:7" x14ac:dyDescent="0.35">
      <c r="A40" s="58" t="s">
        <v>53</v>
      </c>
      <c r="B40" s="5" cm="1">
        <f t="array" ref="B40">IFERROR(
INDEX([1]PMDN!$T$2:$T$436,
_xlfn.AGGREGATE(15,6,
(ROW([1]PMDN!$T$2:$T$436)-ROW([1]PMDN!$T$2)+1)/
([1]PMDN!$H$2:$H$436=$A40),
COUNTIF($A$3:$A40,$A40)
)),
"")</f>
        <v>0</v>
      </c>
      <c r="E40" s="58" t="s">
        <v>53</v>
      </c>
      <c r="F40" s="5" cm="1">
        <f t="array" ref="F40">IFERROR(
INDEX([1]PMDN!$T$2:$T$436,
_xlfn.AGGREGATE(15,6,
(ROW([1]PMDN!$T$2:$T$436)-ROW([1]PMDN!$T$2)+1)/
([1]PMDN!$H$2:$H$436=$E40),
COUNTIF($E$3:$E40,$E40)
)),
"")</f>
        <v>0</v>
      </c>
      <c r="G40" s="73" t="str">
        <f t="shared" si="0"/>
        <v>UMK</v>
      </c>
    </row>
    <row r="41" spans="1:7" x14ac:dyDescent="0.35">
      <c r="A41" s="58" t="s">
        <v>53</v>
      </c>
      <c r="B41" s="5" cm="1">
        <f t="array" ref="B41">IFERROR(
INDEX([1]PMDN!$T$2:$T$436,
_xlfn.AGGREGATE(15,6,
(ROW([1]PMDN!$T$2:$T$436)-ROW([1]PMDN!$T$2)+1)/
([1]PMDN!$H$2:$H$436=$A41),
COUNTIF($A$3:$A41,$A41)
)),
"")</f>
        <v>0</v>
      </c>
      <c r="E41" s="58" t="s">
        <v>53</v>
      </c>
      <c r="F41" s="5" cm="1">
        <f t="array" ref="F41">IFERROR(
INDEX([1]PMDN!$T$2:$T$436,
_xlfn.AGGREGATE(15,6,
(ROW([1]PMDN!$T$2:$T$436)-ROW([1]PMDN!$T$2)+1)/
([1]PMDN!$H$2:$H$436=$E41),
COUNTIF($E$3:$E41,$E41)
)),
"")</f>
        <v>0</v>
      </c>
      <c r="G41" s="73" t="str">
        <f t="shared" si="0"/>
        <v>UMK</v>
      </c>
    </row>
    <row r="42" spans="1:7" x14ac:dyDescent="0.35">
      <c r="A42" s="58" t="s">
        <v>53</v>
      </c>
      <c r="B42" s="5" cm="1">
        <f t="array" ref="B42">IFERROR(
INDEX([1]PMDN!$T$2:$T$436,
_xlfn.AGGREGATE(15,6,
(ROW([1]PMDN!$T$2:$T$436)-ROW([1]PMDN!$T$2)+1)/
([1]PMDN!$H$2:$H$436=$A42),
COUNTIF($A$3:$A42,$A42)
)),
"")</f>
        <v>0</v>
      </c>
      <c r="E42" s="58" t="s">
        <v>53</v>
      </c>
      <c r="F42" s="5" cm="1">
        <f t="array" ref="F42">IFERROR(
INDEX([1]PMDN!$T$2:$T$436,
_xlfn.AGGREGATE(15,6,
(ROW([1]PMDN!$T$2:$T$436)-ROW([1]PMDN!$T$2)+1)/
([1]PMDN!$H$2:$H$436=$E42),
COUNTIF($E$3:$E42,$E42)
)),
"")</f>
        <v>0</v>
      </c>
      <c r="G42" s="73" t="str">
        <f t="shared" si="0"/>
        <v>UMK</v>
      </c>
    </row>
    <row r="43" spans="1:7" x14ac:dyDescent="0.35">
      <c r="A43" s="58" t="s">
        <v>53</v>
      </c>
      <c r="B43" s="5" cm="1">
        <f t="array" ref="B43">IFERROR(
INDEX([1]PMDN!$T$2:$T$436,
_xlfn.AGGREGATE(15,6,
(ROW([1]PMDN!$T$2:$T$436)-ROW([1]PMDN!$T$2)+1)/
([1]PMDN!$H$2:$H$436=$A43),
COUNTIF($A$3:$A43,$A43)
)),
"")</f>
        <v>58586649402</v>
      </c>
      <c r="E43" s="58" t="s">
        <v>53</v>
      </c>
      <c r="F43" s="5" cm="1">
        <f t="array" ref="F43">IFERROR(
INDEX([1]PMDN!$T$2:$T$436,
_xlfn.AGGREGATE(15,6,
(ROW([1]PMDN!$T$2:$T$436)-ROW([1]PMDN!$T$2)+1)/
([1]PMDN!$H$2:$H$436=$E43),
COUNTIF($E$3:$E43,$E43)
)),
"")</f>
        <v>58586649402</v>
      </c>
      <c r="G43" s="73" t="str">
        <f t="shared" si="0"/>
        <v>Non-UMK</v>
      </c>
    </row>
    <row r="44" spans="1:7" x14ac:dyDescent="0.35">
      <c r="A44" s="58" t="s">
        <v>53</v>
      </c>
      <c r="B44" s="5" cm="1">
        <f t="array" ref="B44">IFERROR(
INDEX([1]PMDN!$T$2:$T$436,
_xlfn.AGGREGATE(15,6,
(ROW([1]PMDN!$T$2:$T$436)-ROW([1]PMDN!$T$2)+1)/
([1]PMDN!$H$2:$H$436=$A44),
COUNTIF($A$3:$A44,$A44)
)),
"")</f>
        <v>0</v>
      </c>
      <c r="E44" s="58" t="s">
        <v>53</v>
      </c>
      <c r="F44" s="5" cm="1">
        <f t="array" ref="F44">IFERROR(
INDEX([1]PMDN!$T$2:$T$436,
_xlfn.AGGREGATE(15,6,
(ROW([1]PMDN!$T$2:$T$436)-ROW([1]PMDN!$T$2)+1)/
([1]PMDN!$H$2:$H$436=$E44),
COUNTIF($E$3:$E44,$E44)
)),
"")</f>
        <v>0</v>
      </c>
      <c r="G44" s="73" t="str">
        <f t="shared" si="0"/>
        <v>UMK</v>
      </c>
    </row>
    <row r="45" spans="1:7" x14ac:dyDescent="0.35">
      <c r="A45" s="58" t="s">
        <v>53</v>
      </c>
      <c r="B45" s="5" cm="1">
        <f t="array" ref="B45">IFERROR(
INDEX([1]PMDN!$T$2:$T$436,
_xlfn.AGGREGATE(15,6,
(ROW([1]PMDN!$T$2:$T$436)-ROW([1]PMDN!$T$2)+1)/
([1]PMDN!$H$2:$H$436=$A45),
COUNTIF($A$3:$A45,$A45)
)),
"")</f>
        <v>0</v>
      </c>
      <c r="E45" s="58" t="s">
        <v>53</v>
      </c>
      <c r="F45" s="5" cm="1">
        <f t="array" ref="F45">IFERROR(
INDEX([1]PMDN!$T$2:$T$436,
_xlfn.AGGREGATE(15,6,
(ROW([1]PMDN!$T$2:$T$436)-ROW([1]PMDN!$T$2)+1)/
([1]PMDN!$H$2:$H$436=$E45),
COUNTIF($E$3:$E45,$E45)
)),
"")</f>
        <v>0</v>
      </c>
      <c r="G45" s="73" t="str">
        <f t="shared" si="0"/>
        <v>UMK</v>
      </c>
    </row>
    <row r="46" spans="1:7" x14ac:dyDescent="0.35">
      <c r="A46" s="58" t="s">
        <v>53</v>
      </c>
      <c r="B46" s="5" cm="1">
        <f t="array" ref="B46">IFERROR(
INDEX([1]PMDN!$T$2:$T$436,
_xlfn.AGGREGATE(15,6,
(ROW([1]PMDN!$T$2:$T$436)-ROW([1]PMDN!$T$2)+1)/
([1]PMDN!$H$2:$H$436=$A46),
COUNTIF($A$3:$A46,$A46)
)),
"")</f>
        <v>0</v>
      </c>
      <c r="E46" s="58" t="s">
        <v>53</v>
      </c>
      <c r="F46" s="5" cm="1">
        <f t="array" ref="F46">IFERROR(
INDEX([1]PMDN!$T$2:$T$436,
_xlfn.AGGREGATE(15,6,
(ROW([1]PMDN!$T$2:$T$436)-ROW([1]PMDN!$T$2)+1)/
([1]PMDN!$H$2:$H$436=$E46),
COUNTIF($E$3:$E46,$E46)
)),
"")</f>
        <v>0</v>
      </c>
      <c r="G46" s="73" t="str">
        <f t="shared" si="0"/>
        <v>UMK</v>
      </c>
    </row>
    <row r="47" spans="1:7" x14ac:dyDescent="0.35">
      <c r="A47" s="58" t="s">
        <v>53</v>
      </c>
      <c r="B47" s="5" cm="1">
        <f t="array" ref="B47">IFERROR(
INDEX([1]PMDN!$T$2:$T$436,
_xlfn.AGGREGATE(15,6,
(ROW([1]PMDN!$T$2:$T$436)-ROW([1]PMDN!$T$2)+1)/
([1]PMDN!$H$2:$H$436=$A47),
COUNTIF($A$3:$A47,$A47)
)),
"")</f>
        <v>0</v>
      </c>
      <c r="E47" s="58" t="s">
        <v>53</v>
      </c>
      <c r="F47" s="5" cm="1">
        <f t="array" ref="F47">IFERROR(
INDEX([1]PMDN!$T$2:$T$436,
_xlfn.AGGREGATE(15,6,
(ROW([1]PMDN!$T$2:$T$436)-ROW([1]PMDN!$T$2)+1)/
([1]PMDN!$H$2:$H$436=$E47),
COUNTIF($E$3:$E47,$E47)
)),
"")</f>
        <v>0</v>
      </c>
      <c r="G47" s="73" t="str">
        <f t="shared" si="0"/>
        <v>UMK</v>
      </c>
    </row>
    <row r="48" spans="1:7" x14ac:dyDescent="0.35">
      <c r="A48" s="58" t="s">
        <v>53</v>
      </c>
      <c r="B48" s="5" cm="1">
        <f t="array" ref="B48">IFERROR(
INDEX([1]PMDN!$T$2:$T$436,
_xlfn.AGGREGATE(15,6,
(ROW([1]PMDN!$T$2:$T$436)-ROW([1]PMDN!$T$2)+1)/
([1]PMDN!$H$2:$H$436=$A48),
COUNTIF($A$3:$A48,$A48)
)),
"")</f>
        <v>0</v>
      </c>
      <c r="E48" s="58" t="s">
        <v>53</v>
      </c>
      <c r="F48" s="5" cm="1">
        <f t="array" ref="F48">IFERROR(
INDEX([1]PMDN!$T$2:$T$436,
_xlfn.AGGREGATE(15,6,
(ROW([1]PMDN!$T$2:$T$436)-ROW([1]PMDN!$T$2)+1)/
([1]PMDN!$H$2:$H$436=$E48),
COUNTIF($E$3:$E48,$E48)
)),
"")</f>
        <v>0</v>
      </c>
      <c r="G48" s="73" t="str">
        <f t="shared" si="0"/>
        <v>UMK</v>
      </c>
    </row>
    <row r="49" spans="1:7" x14ac:dyDescent="0.35">
      <c r="A49" s="58" t="s">
        <v>58</v>
      </c>
      <c r="B49" s="5" cm="1">
        <f t="array" ref="B49">IFERROR(
INDEX([1]PMDN!$T$2:$T$436,
_xlfn.AGGREGATE(15,6,
(ROW([1]PMDN!$T$2:$T$436)-ROW([1]PMDN!$T$2)+1)/
([1]PMDN!$H$2:$H$436=$A49),
COUNTIF($A$3:$A49,$A49)
)),
"")</f>
        <v>64811632055</v>
      </c>
      <c r="E49" s="58" t="s">
        <v>58</v>
      </c>
      <c r="F49" s="5" cm="1">
        <f t="array" ref="F49">IFERROR(
INDEX([1]PMDN!$T$2:$T$436,
_xlfn.AGGREGATE(15,6,
(ROW([1]PMDN!$T$2:$T$436)-ROW([1]PMDN!$T$2)+1)/
([1]PMDN!$H$2:$H$436=$E49),
COUNTIF($E$3:$E49,$E49)
)),
"")</f>
        <v>64811632055</v>
      </c>
      <c r="G49" s="73" t="str">
        <f t="shared" si="0"/>
        <v>Non-UMK</v>
      </c>
    </row>
    <row r="50" spans="1:7" x14ac:dyDescent="0.35">
      <c r="A50" s="58" t="s">
        <v>58</v>
      </c>
      <c r="B50" s="5" cm="1">
        <f t="array" ref="B50">IFERROR(
INDEX([1]PMDN!$T$2:$T$436,
_xlfn.AGGREGATE(15,6,
(ROW([1]PMDN!$T$2:$T$436)-ROW([1]PMDN!$T$2)+1)/
([1]PMDN!$H$2:$H$436=$A50),
COUNTIF($A$3:$A50,$A50)
)),
"")</f>
        <v>0</v>
      </c>
      <c r="E50" s="58" t="s">
        <v>58</v>
      </c>
      <c r="F50" s="5" cm="1">
        <f t="array" ref="F50">IFERROR(
INDEX([1]PMDN!$T$2:$T$436,
_xlfn.AGGREGATE(15,6,
(ROW([1]PMDN!$T$2:$T$436)-ROW([1]PMDN!$T$2)+1)/
([1]PMDN!$H$2:$H$436=$E50),
COUNTIF($E$3:$E50,$E50)
)),
"")</f>
        <v>0</v>
      </c>
      <c r="G50" s="73" t="str">
        <f t="shared" si="0"/>
        <v>UMK</v>
      </c>
    </row>
    <row r="51" spans="1:7" x14ac:dyDescent="0.35">
      <c r="A51" s="58" t="s">
        <v>223</v>
      </c>
      <c r="B51" s="5" cm="1">
        <f t="array" ref="B51">IFERROR(
INDEX([1]PMDN!$T$2:$T$436,
_xlfn.AGGREGATE(15,6,
(ROW([1]PMDN!$T$2:$T$436)-ROW([1]PMDN!$T$2)+1)/
([1]PMDN!$H$2:$H$436=$A51),
COUNTIF($A$3:$A51,$A51)
)),
"")</f>
        <v>0</v>
      </c>
      <c r="E51" s="58" t="s">
        <v>223</v>
      </c>
      <c r="F51" s="5" cm="1">
        <f t="array" ref="F51">IFERROR(
INDEX([1]PMDN!$T$2:$T$436,
_xlfn.AGGREGATE(15,6,
(ROW([1]PMDN!$T$2:$T$436)-ROW([1]PMDN!$T$2)+1)/
([1]PMDN!$H$2:$H$436=$E51),
COUNTIF($E$3:$E51,$E51)
)),
"")</f>
        <v>0</v>
      </c>
      <c r="G51" s="73" t="str">
        <f t="shared" si="0"/>
        <v>UMK</v>
      </c>
    </row>
    <row r="52" spans="1:7" x14ac:dyDescent="0.35">
      <c r="A52" s="58" t="s">
        <v>63</v>
      </c>
      <c r="B52" s="5" cm="1">
        <f t="array" ref="B52">IFERROR(
INDEX([1]PMDN!$T$2:$T$436,
_xlfn.AGGREGATE(15,6,
(ROW([1]PMDN!$T$2:$T$436)-ROW([1]PMDN!$T$2)+1)/
([1]PMDN!$H$2:$H$436=$A52),
COUNTIF($A$3:$A52,$A52)
)),
"")</f>
        <v>0</v>
      </c>
      <c r="E52" s="58" t="s">
        <v>63</v>
      </c>
      <c r="F52" s="5" cm="1">
        <f t="array" ref="F52">IFERROR(
INDEX([1]PMDN!$T$2:$T$436,
_xlfn.AGGREGATE(15,6,
(ROW([1]PMDN!$T$2:$T$436)-ROW([1]PMDN!$T$2)+1)/
([1]PMDN!$H$2:$H$436=$E52),
COUNTIF($E$3:$E52,$E52)
)),
"")</f>
        <v>0</v>
      </c>
      <c r="G52" s="73" t="str">
        <f t="shared" si="0"/>
        <v>UMK</v>
      </c>
    </row>
    <row r="53" spans="1:7" x14ac:dyDescent="0.35">
      <c r="A53" s="58" t="s">
        <v>63</v>
      </c>
      <c r="B53" s="5" cm="1">
        <f t="array" ref="B53">IFERROR(
INDEX([1]PMDN!$T$2:$T$436,
_xlfn.AGGREGATE(15,6,
(ROW([1]PMDN!$T$2:$T$436)-ROW([1]PMDN!$T$2)+1)/
([1]PMDN!$H$2:$H$436=$A53),
COUNTIF($A$3:$A53,$A53)
)),
"")</f>
        <v>3400000000</v>
      </c>
      <c r="E53" s="58" t="s">
        <v>63</v>
      </c>
      <c r="F53" s="5" cm="1">
        <f t="array" ref="F53">IFERROR(
INDEX([1]PMDN!$T$2:$T$436,
_xlfn.AGGREGATE(15,6,
(ROW([1]PMDN!$T$2:$T$436)-ROW([1]PMDN!$T$2)+1)/
([1]PMDN!$H$2:$H$436=$E53),
COUNTIF($E$3:$E53,$E53)
)),
"")</f>
        <v>3400000000</v>
      </c>
      <c r="G53" s="73" t="str">
        <f t="shared" si="0"/>
        <v>UMK</v>
      </c>
    </row>
    <row r="54" spans="1:7" x14ac:dyDescent="0.35">
      <c r="A54" s="58" t="s">
        <v>63</v>
      </c>
      <c r="B54" s="5" cm="1">
        <f t="array" ref="B54">IFERROR(
INDEX([1]PMDN!$T$2:$T$436,
_xlfn.AGGREGATE(15,6,
(ROW([1]PMDN!$T$2:$T$436)-ROW([1]PMDN!$T$2)+1)/
([1]PMDN!$H$2:$H$436=$A54),
COUNTIF($A$3:$A54,$A54)
)),
"")</f>
        <v>1398500000</v>
      </c>
      <c r="E54" s="58" t="s">
        <v>63</v>
      </c>
      <c r="F54" s="5" cm="1">
        <f t="array" ref="F54">IFERROR(
INDEX([1]PMDN!$T$2:$T$436,
_xlfn.AGGREGATE(15,6,
(ROW([1]PMDN!$T$2:$T$436)-ROW([1]PMDN!$T$2)+1)/
([1]PMDN!$H$2:$H$436=$E54),
COUNTIF($E$3:$E54,$E54)
)),
"")</f>
        <v>1398500000</v>
      </c>
      <c r="G54" s="73" t="str">
        <f t="shared" si="0"/>
        <v>UMK</v>
      </c>
    </row>
    <row r="55" spans="1:7" x14ac:dyDescent="0.35">
      <c r="A55" s="58" t="s">
        <v>224</v>
      </c>
      <c r="B55" s="5" cm="1">
        <f t="array" ref="B55">IFERROR(
INDEX([1]PMDN!$T$2:$T$436,
_xlfn.AGGREGATE(15,6,
(ROW([1]PMDN!$T$2:$T$436)-ROW([1]PMDN!$T$2)+1)/
([1]PMDN!$H$2:$H$436=$A55),
COUNTIF($A$3:$A55,$A55)
)),
"")</f>
        <v>1925006368</v>
      </c>
      <c r="E55" s="58" t="s">
        <v>224</v>
      </c>
      <c r="F55" s="5" cm="1">
        <f t="array" ref="F55">IFERROR(
INDEX([1]PMDN!$T$2:$T$436,
_xlfn.AGGREGATE(15,6,
(ROW([1]PMDN!$T$2:$T$436)-ROW([1]PMDN!$T$2)+1)/
([1]PMDN!$H$2:$H$436=$E55),
COUNTIF($E$3:$E55,$E55)
)),
"")</f>
        <v>1925006368</v>
      </c>
      <c r="G55" s="73" t="str">
        <f t="shared" si="0"/>
        <v>UMK</v>
      </c>
    </row>
    <row r="56" spans="1:7" x14ac:dyDescent="0.35">
      <c r="A56" s="58" t="s">
        <v>90</v>
      </c>
      <c r="B56" s="5" cm="1">
        <f t="array" ref="B56">IFERROR(
INDEX([1]PMDN!$T$2:$T$436,
_xlfn.AGGREGATE(15,6,
(ROW([1]PMDN!$T$2:$T$436)-ROW([1]PMDN!$T$2)+1)/
([1]PMDN!$H$2:$H$436=$A56),
COUNTIF($A$3:$A56,$A56)
)),
"")</f>
        <v>0</v>
      </c>
      <c r="E56" s="58" t="s">
        <v>90</v>
      </c>
      <c r="F56" s="5" cm="1">
        <f t="array" ref="F56">IFERROR(
INDEX([1]PMDN!$T$2:$T$436,
_xlfn.AGGREGATE(15,6,
(ROW([1]PMDN!$T$2:$T$436)-ROW([1]PMDN!$T$2)+1)/
([1]PMDN!$H$2:$H$436=$E56),
COUNTIF($E$3:$E56,$E56)
)),
"")</f>
        <v>0</v>
      </c>
      <c r="G56" s="73" t="str">
        <f t="shared" si="0"/>
        <v>UMK</v>
      </c>
    </row>
    <row r="57" spans="1:7" x14ac:dyDescent="0.35">
      <c r="A57" s="58" t="s">
        <v>90</v>
      </c>
      <c r="B57" s="5" cm="1">
        <f t="array" ref="B57">IFERROR(
INDEX([1]PMDN!$T$2:$T$436,
_xlfn.AGGREGATE(15,6,
(ROW([1]PMDN!$T$2:$T$436)-ROW([1]PMDN!$T$2)+1)/
([1]PMDN!$H$2:$H$436=$A57),
COUNTIF($A$3:$A57,$A57)
)),
"")</f>
        <v>0</v>
      </c>
      <c r="E57" s="58" t="s">
        <v>90</v>
      </c>
      <c r="F57" s="5" cm="1">
        <f t="array" ref="F57">IFERROR(
INDEX([1]PMDN!$T$2:$T$436,
_xlfn.AGGREGATE(15,6,
(ROW([1]PMDN!$T$2:$T$436)-ROW([1]PMDN!$T$2)+1)/
([1]PMDN!$H$2:$H$436=$E57),
COUNTIF($E$3:$E57,$E57)
)),
"")</f>
        <v>0</v>
      </c>
      <c r="G57" s="73" t="str">
        <f t="shared" si="0"/>
        <v>UMK</v>
      </c>
    </row>
    <row r="58" spans="1:7" x14ac:dyDescent="0.35">
      <c r="A58" s="58" t="s">
        <v>90</v>
      </c>
      <c r="B58" s="5" cm="1">
        <f t="array" ref="B58">IFERROR(
INDEX([1]PMDN!$T$2:$T$436,
_xlfn.AGGREGATE(15,6,
(ROW([1]PMDN!$T$2:$T$436)-ROW([1]PMDN!$T$2)+1)/
([1]PMDN!$H$2:$H$436=$A58),
COUNTIF($A$3:$A58,$A58)
)),
"")</f>
        <v>0</v>
      </c>
      <c r="E58" s="58" t="s">
        <v>90</v>
      </c>
      <c r="F58" s="5" cm="1">
        <f t="array" ref="F58">IFERROR(
INDEX([1]PMDN!$T$2:$T$436,
_xlfn.AGGREGATE(15,6,
(ROW([1]PMDN!$T$2:$T$436)-ROW([1]PMDN!$T$2)+1)/
([1]PMDN!$H$2:$H$436=$E58),
COUNTIF($E$3:$E58,$E58)
)),
"")</f>
        <v>0</v>
      </c>
      <c r="G58" s="73" t="str">
        <f t="shared" si="0"/>
        <v>UMK</v>
      </c>
    </row>
    <row r="59" spans="1:7" x14ac:dyDescent="0.35">
      <c r="A59" s="58" t="s">
        <v>101</v>
      </c>
      <c r="B59" s="5" cm="1">
        <f t="array" ref="B59">IFERROR(
INDEX([1]PMDN!$T$2:$T$436,
_xlfn.AGGREGATE(15,6,
(ROW([1]PMDN!$T$2:$T$436)-ROW([1]PMDN!$T$2)+1)/
([1]PMDN!$H$2:$H$436=$A59),
COUNTIF($A$3:$A59,$A59)
)),
"")</f>
        <v>0</v>
      </c>
      <c r="E59" s="58" t="s">
        <v>101</v>
      </c>
      <c r="F59" s="5" cm="1">
        <f t="array" ref="F59">IFERROR(
INDEX([1]PMDN!$T$2:$T$436,
_xlfn.AGGREGATE(15,6,
(ROW([1]PMDN!$T$2:$T$436)-ROW([1]PMDN!$T$2)+1)/
([1]PMDN!$H$2:$H$436=$E59),
COUNTIF($E$3:$E59,$E59)
)),
"")</f>
        <v>0</v>
      </c>
      <c r="G59" s="73" t="str">
        <f t="shared" si="0"/>
        <v>UMK</v>
      </c>
    </row>
    <row r="60" spans="1:7" x14ac:dyDescent="0.35">
      <c r="A60" s="58" t="s">
        <v>108</v>
      </c>
      <c r="B60" s="5" cm="1">
        <f t="array" ref="B60">IFERROR(
INDEX([1]PMDN!$T$2:$T$436,
_xlfn.AGGREGATE(15,6,
(ROW([1]PMDN!$T$2:$T$436)-ROW([1]PMDN!$T$2)+1)/
([1]PMDN!$H$2:$H$436=$A60),
COUNTIF($A$3:$A60,$A60)
)),
"")</f>
        <v>0</v>
      </c>
      <c r="E60" s="58" t="s">
        <v>108</v>
      </c>
      <c r="F60" s="5" cm="1">
        <f t="array" ref="F60">IFERROR(
INDEX([1]PMDN!$T$2:$T$436,
_xlfn.AGGREGATE(15,6,
(ROW([1]PMDN!$T$2:$T$436)-ROW([1]PMDN!$T$2)+1)/
([1]PMDN!$H$2:$H$436=$E60),
COUNTIF($E$3:$E60,$E60)
)),
"")</f>
        <v>0</v>
      </c>
      <c r="G60" s="73" t="str">
        <f t="shared" si="0"/>
        <v>UMK</v>
      </c>
    </row>
    <row r="61" spans="1:7" x14ac:dyDescent="0.35">
      <c r="A61" s="58" t="s">
        <v>109</v>
      </c>
      <c r="B61" s="5" cm="1">
        <f t="array" ref="B61">IFERROR(
INDEX([1]PMDN!$T$2:$T$436,
_xlfn.AGGREGATE(15,6,
(ROW([1]PMDN!$T$2:$T$436)-ROW([1]PMDN!$T$2)+1)/
([1]PMDN!$H$2:$H$436=$A61),
COUNTIF($A$3:$A61,$A61)
)),
"")</f>
        <v>6820196874</v>
      </c>
      <c r="E61" s="58" t="s">
        <v>109</v>
      </c>
      <c r="F61" s="5" cm="1">
        <f t="array" ref="F61">IFERROR(
INDEX([1]PMDN!$T$2:$T$436,
_xlfn.AGGREGATE(15,6,
(ROW([1]PMDN!$T$2:$T$436)-ROW([1]PMDN!$T$2)+1)/
([1]PMDN!$H$2:$H$436=$E61),
COUNTIF($E$3:$E61,$E61)
)),
"")</f>
        <v>6820196874</v>
      </c>
      <c r="G61" s="73" t="str">
        <f t="shared" si="0"/>
        <v>Non-UMK</v>
      </c>
    </row>
    <row r="62" spans="1:7" x14ac:dyDescent="0.35">
      <c r="A62" s="58" t="s">
        <v>109</v>
      </c>
      <c r="B62" s="5" cm="1">
        <f t="array" ref="B62">IFERROR(
INDEX([1]PMDN!$T$2:$T$436,
_xlfn.AGGREGATE(15,6,
(ROW([1]PMDN!$T$2:$T$436)-ROW([1]PMDN!$T$2)+1)/
([1]PMDN!$H$2:$H$436=$A62),
COUNTIF($A$3:$A62,$A62)
)),
"")</f>
        <v>0</v>
      </c>
      <c r="E62" s="58" t="s">
        <v>109</v>
      </c>
      <c r="F62" s="5" cm="1">
        <f t="array" ref="F62">IFERROR(
INDEX([1]PMDN!$T$2:$T$436,
_xlfn.AGGREGATE(15,6,
(ROW([1]PMDN!$T$2:$T$436)-ROW([1]PMDN!$T$2)+1)/
([1]PMDN!$H$2:$H$436=$E62),
COUNTIF($E$3:$E62,$E62)
)),
"")</f>
        <v>0</v>
      </c>
      <c r="G62" s="73" t="str">
        <f t="shared" si="0"/>
        <v>UMK</v>
      </c>
    </row>
    <row r="63" spans="1:7" x14ac:dyDescent="0.35">
      <c r="A63" s="58" t="s">
        <v>109</v>
      </c>
      <c r="B63" s="5" cm="1">
        <f t="array" ref="B63">IFERROR(
INDEX([1]PMDN!$T$2:$T$436,
_xlfn.AGGREGATE(15,6,
(ROW([1]PMDN!$T$2:$T$436)-ROW([1]PMDN!$T$2)+1)/
([1]PMDN!$H$2:$H$436=$A63),
COUNTIF($A$3:$A63,$A63)
)),
"")</f>
        <v>0</v>
      </c>
      <c r="E63" s="58" t="s">
        <v>109</v>
      </c>
      <c r="F63" s="5" cm="1">
        <f t="array" ref="F63">IFERROR(
INDEX([1]PMDN!$T$2:$T$436,
_xlfn.AGGREGATE(15,6,
(ROW([1]PMDN!$T$2:$T$436)-ROW([1]PMDN!$T$2)+1)/
([1]PMDN!$H$2:$H$436=$E63),
COUNTIF($E$3:$E63,$E63)
)),
"")</f>
        <v>0</v>
      </c>
      <c r="G63" s="73" t="str">
        <f t="shared" si="0"/>
        <v>UMK</v>
      </c>
    </row>
    <row r="64" spans="1:7" x14ac:dyDescent="0.35">
      <c r="A64" s="58" t="s">
        <v>109</v>
      </c>
      <c r="B64" s="5" cm="1">
        <f t="array" ref="B64">IFERROR(
INDEX([1]PMDN!$T$2:$T$436,
_xlfn.AGGREGATE(15,6,
(ROW([1]PMDN!$T$2:$T$436)-ROW([1]PMDN!$T$2)+1)/
([1]PMDN!$H$2:$H$436=$A64),
COUNTIF($A$3:$A64,$A64)
)),
"")</f>
        <v>0</v>
      </c>
      <c r="E64" s="58" t="s">
        <v>109</v>
      </c>
      <c r="F64" s="5" cm="1">
        <f t="array" ref="F64">IFERROR(
INDEX([1]PMDN!$T$2:$T$436,
_xlfn.AGGREGATE(15,6,
(ROW([1]PMDN!$T$2:$T$436)-ROW([1]PMDN!$T$2)+1)/
([1]PMDN!$H$2:$H$436=$E64),
COUNTIF($E$3:$E64,$E64)
)),
"")</f>
        <v>0</v>
      </c>
      <c r="G64" s="73" t="str">
        <f t="shared" si="0"/>
        <v>UMK</v>
      </c>
    </row>
    <row r="65" spans="1:7" x14ac:dyDescent="0.35">
      <c r="A65" s="58" t="s">
        <v>109</v>
      </c>
      <c r="B65" s="5" cm="1">
        <f t="array" ref="B65">IFERROR(
INDEX([1]PMDN!$T$2:$T$436,
_xlfn.AGGREGATE(15,6,
(ROW([1]PMDN!$T$2:$T$436)-ROW([1]PMDN!$T$2)+1)/
([1]PMDN!$H$2:$H$436=$A65),
COUNTIF($A$3:$A65,$A65)
)),
"")</f>
        <v>0</v>
      </c>
      <c r="E65" s="58" t="s">
        <v>109</v>
      </c>
      <c r="F65" s="5" cm="1">
        <f t="array" ref="F65">IFERROR(
INDEX([1]PMDN!$T$2:$T$436,
_xlfn.AGGREGATE(15,6,
(ROW([1]PMDN!$T$2:$T$436)-ROW([1]PMDN!$T$2)+1)/
([1]PMDN!$H$2:$H$436=$E65),
COUNTIF($E$3:$E65,$E65)
)),
"")</f>
        <v>0</v>
      </c>
      <c r="G65" s="73" t="str">
        <f t="shared" si="0"/>
        <v>UMK</v>
      </c>
    </row>
    <row r="66" spans="1:7" x14ac:dyDescent="0.35">
      <c r="A66" s="58" t="s">
        <v>109</v>
      </c>
      <c r="B66" s="5" cm="1">
        <f t="array" ref="B66">IFERROR(
INDEX([1]PMDN!$T$2:$T$436,
_xlfn.AGGREGATE(15,6,
(ROW([1]PMDN!$T$2:$T$436)-ROW([1]PMDN!$T$2)+1)/
([1]PMDN!$H$2:$H$436=$A66),
COUNTIF($A$3:$A66,$A66)
)),
"")</f>
        <v>0</v>
      </c>
      <c r="E66" s="58" t="s">
        <v>109</v>
      </c>
      <c r="F66" s="5" cm="1">
        <f t="array" ref="F66">IFERROR(
INDEX([1]PMDN!$T$2:$T$436,
_xlfn.AGGREGATE(15,6,
(ROW([1]PMDN!$T$2:$T$436)-ROW([1]PMDN!$T$2)+1)/
([1]PMDN!$H$2:$H$436=$E66),
COUNTIF($E$3:$E66,$E66)
)),
"")</f>
        <v>0</v>
      </c>
      <c r="G66" s="73" t="str">
        <f t="shared" si="0"/>
        <v>UMK</v>
      </c>
    </row>
    <row r="67" spans="1:7" x14ac:dyDescent="0.35">
      <c r="A67" s="58" t="s">
        <v>109</v>
      </c>
      <c r="B67" s="5" cm="1">
        <f t="array" ref="B67">IFERROR(
INDEX([1]PMDN!$T$2:$T$436,
_xlfn.AGGREGATE(15,6,
(ROW([1]PMDN!$T$2:$T$436)-ROW([1]PMDN!$T$2)+1)/
([1]PMDN!$H$2:$H$436=$A67),
COUNTIF($A$3:$A67,$A67)
)),
"")</f>
        <v>0</v>
      </c>
      <c r="E67" s="58" t="s">
        <v>109</v>
      </c>
      <c r="F67" s="5" cm="1">
        <f t="array" ref="F67">IFERROR(
INDEX([1]PMDN!$T$2:$T$436,
_xlfn.AGGREGATE(15,6,
(ROW([1]PMDN!$T$2:$T$436)-ROW([1]PMDN!$T$2)+1)/
([1]PMDN!$H$2:$H$436=$E67),
COUNTIF($E$3:$E67,$E67)
)),
"")</f>
        <v>0</v>
      </c>
      <c r="G67" s="73" t="str">
        <f t="shared" si="0"/>
        <v>UMK</v>
      </c>
    </row>
    <row r="68" spans="1:7" x14ac:dyDescent="0.35">
      <c r="A68" s="58" t="s">
        <v>109</v>
      </c>
      <c r="B68" s="5" cm="1">
        <f t="array" ref="B68">IFERROR(
INDEX([1]PMDN!$T$2:$T$436,
_xlfn.AGGREGATE(15,6,
(ROW([1]PMDN!$T$2:$T$436)-ROW([1]PMDN!$T$2)+1)/
([1]PMDN!$H$2:$H$436=$A68),
COUNTIF($A$3:$A68,$A68)
)),
"")</f>
        <v>0</v>
      </c>
      <c r="E68" s="58" t="s">
        <v>109</v>
      </c>
      <c r="F68" s="5" cm="1">
        <f t="array" ref="F68">IFERROR(
INDEX([1]PMDN!$T$2:$T$436,
_xlfn.AGGREGATE(15,6,
(ROW([1]PMDN!$T$2:$T$436)-ROW([1]PMDN!$T$2)+1)/
([1]PMDN!$H$2:$H$436=$E68),
COUNTIF($E$3:$E68,$E68)
)),
"")</f>
        <v>0</v>
      </c>
      <c r="G68" s="73" t="str">
        <f t="shared" ref="G68:G131" si="1">IF(F68&lt;=5000000000,"UMK","Non-UMK")</f>
        <v>UMK</v>
      </c>
    </row>
    <row r="69" spans="1:7" x14ac:dyDescent="0.35">
      <c r="A69" s="58" t="s">
        <v>121</v>
      </c>
      <c r="B69" s="5" cm="1">
        <f t="array" ref="B69">IFERROR(
INDEX([1]PMDN!$T$2:$T$436,
_xlfn.AGGREGATE(15,6,
(ROW([1]PMDN!$T$2:$T$436)-ROW([1]PMDN!$T$2)+1)/
([1]PMDN!$H$2:$H$436=$A69),
COUNTIF($A$3:$A69,$A69)
)),
"")</f>
        <v>44651085113</v>
      </c>
      <c r="E69" s="58" t="s">
        <v>121</v>
      </c>
      <c r="F69" s="5" cm="1">
        <f t="array" ref="F69">IFERROR(
INDEX([1]PMDN!$T$2:$T$436,
_xlfn.AGGREGATE(15,6,
(ROW([1]PMDN!$T$2:$T$436)-ROW([1]PMDN!$T$2)+1)/
([1]PMDN!$H$2:$H$436=$E69),
COUNTIF($E$3:$E69,$E69)
)),
"")</f>
        <v>44651085113</v>
      </c>
      <c r="G69" s="73" t="str">
        <f t="shared" si="1"/>
        <v>Non-UMK</v>
      </c>
    </row>
    <row r="70" spans="1:7" x14ac:dyDescent="0.35">
      <c r="A70" s="58" t="s">
        <v>121</v>
      </c>
      <c r="B70" s="5" cm="1">
        <f t="array" ref="B70">IFERROR(
INDEX([1]PMDN!$T$2:$T$436,
_xlfn.AGGREGATE(15,6,
(ROW([1]PMDN!$T$2:$T$436)-ROW([1]PMDN!$T$2)+1)/
([1]PMDN!$H$2:$H$436=$A70),
COUNTIF($A$3:$A70,$A70)
)),
"")</f>
        <v>0</v>
      </c>
      <c r="E70" s="58" t="s">
        <v>121</v>
      </c>
      <c r="F70" s="5" cm="1">
        <f t="array" ref="F70">IFERROR(
INDEX([1]PMDN!$T$2:$T$436,
_xlfn.AGGREGATE(15,6,
(ROW([1]PMDN!$T$2:$T$436)-ROW([1]PMDN!$T$2)+1)/
([1]PMDN!$H$2:$H$436=$E70),
COUNTIF($E$3:$E70,$E70)
)),
"")</f>
        <v>0</v>
      </c>
      <c r="G70" s="73" t="str">
        <f t="shared" si="1"/>
        <v>UMK</v>
      </c>
    </row>
    <row r="71" spans="1:7" x14ac:dyDescent="0.35">
      <c r="A71" s="58" t="s">
        <v>122</v>
      </c>
      <c r="B71" s="5" cm="1">
        <f t="array" ref="B71">IFERROR(
INDEX([1]PMDN!$T$2:$T$436,
_xlfn.AGGREGATE(15,6,
(ROW([1]PMDN!$T$2:$T$436)-ROW([1]PMDN!$T$2)+1)/
([1]PMDN!$H$2:$H$436=$A71),
COUNTIF($A$3:$A71,$A71)
)),
"")</f>
        <v>984157003</v>
      </c>
      <c r="E71" s="58" t="s">
        <v>122</v>
      </c>
      <c r="F71" s="5" cm="1">
        <f t="array" ref="F71">IFERROR(
INDEX([1]PMDN!$T$2:$T$436,
_xlfn.AGGREGATE(15,6,
(ROW([1]PMDN!$T$2:$T$436)-ROW([1]PMDN!$T$2)+1)/
([1]PMDN!$H$2:$H$436=$E71),
COUNTIF($E$3:$E71,$E71)
)),
"")</f>
        <v>984157003</v>
      </c>
      <c r="G71" s="73" t="str">
        <f t="shared" si="1"/>
        <v>UMK</v>
      </c>
    </row>
    <row r="72" spans="1:7" x14ac:dyDescent="0.35">
      <c r="A72" s="58" t="s">
        <v>122</v>
      </c>
      <c r="B72" s="5" cm="1">
        <f t="array" ref="B72">IFERROR(
INDEX([1]PMDN!$T$2:$T$436,
_xlfn.AGGREGATE(15,6,
(ROW([1]PMDN!$T$2:$T$436)-ROW([1]PMDN!$T$2)+1)/
([1]PMDN!$H$2:$H$436=$A72),
COUNTIF($A$3:$A72,$A72)
)),
"")</f>
        <v>75000000</v>
      </c>
      <c r="E72" s="58" t="s">
        <v>122</v>
      </c>
      <c r="F72" s="5" cm="1">
        <f t="array" ref="F72">IFERROR(
INDEX([1]PMDN!$T$2:$T$436,
_xlfn.AGGREGATE(15,6,
(ROW([1]PMDN!$T$2:$T$436)-ROW([1]PMDN!$T$2)+1)/
([1]PMDN!$H$2:$H$436=$E72),
COUNTIF($E$3:$E72,$E72)
)),
"")</f>
        <v>75000000</v>
      </c>
      <c r="G72" s="73" t="str">
        <f t="shared" si="1"/>
        <v>UMK</v>
      </c>
    </row>
    <row r="73" spans="1:7" x14ac:dyDescent="0.35">
      <c r="A73" s="58" t="s">
        <v>122</v>
      </c>
      <c r="B73" s="5" cm="1">
        <f t="array" ref="B73">IFERROR(
INDEX([1]PMDN!$T$2:$T$436,
_xlfn.AGGREGATE(15,6,
(ROW([1]PMDN!$T$2:$T$436)-ROW([1]PMDN!$T$2)+1)/
([1]PMDN!$H$2:$H$436=$A73),
COUNTIF($A$3:$A73,$A73)
)),
"")</f>
        <v>0</v>
      </c>
      <c r="E73" s="58" t="s">
        <v>122</v>
      </c>
      <c r="F73" s="5" cm="1">
        <f t="array" ref="F73">IFERROR(
INDEX([1]PMDN!$T$2:$T$436,
_xlfn.AGGREGATE(15,6,
(ROW([1]PMDN!$T$2:$T$436)-ROW([1]PMDN!$T$2)+1)/
([1]PMDN!$H$2:$H$436=$E73),
COUNTIF($E$3:$E73,$E73)
)),
"")</f>
        <v>0</v>
      </c>
      <c r="G73" s="73" t="str">
        <f t="shared" si="1"/>
        <v>UMK</v>
      </c>
    </row>
    <row r="74" spans="1:7" x14ac:dyDescent="0.35">
      <c r="A74" s="58" t="s">
        <v>125</v>
      </c>
      <c r="B74" s="5" cm="1">
        <f t="array" ref="B74">IFERROR(
INDEX([1]PMDN!$T$2:$T$436,
_xlfn.AGGREGATE(15,6,
(ROW([1]PMDN!$T$2:$T$436)-ROW([1]PMDN!$T$2)+1)/
([1]PMDN!$H$2:$H$436=$A74),
COUNTIF($A$3:$A74,$A74)
)),
"")</f>
        <v>0</v>
      </c>
      <c r="E74" s="58" t="s">
        <v>125</v>
      </c>
      <c r="F74" s="5" cm="1">
        <f t="array" ref="F74">IFERROR(
INDEX([1]PMDN!$T$2:$T$436,
_xlfn.AGGREGATE(15,6,
(ROW([1]PMDN!$T$2:$T$436)-ROW([1]PMDN!$T$2)+1)/
([1]PMDN!$H$2:$H$436=$E74),
COUNTIF($E$3:$E74,$E74)
)),
"")</f>
        <v>0</v>
      </c>
      <c r="G74" s="73" t="str">
        <f t="shared" si="1"/>
        <v>UMK</v>
      </c>
    </row>
    <row r="75" spans="1:7" x14ac:dyDescent="0.35">
      <c r="A75" s="58" t="s">
        <v>130</v>
      </c>
      <c r="B75" s="5" cm="1">
        <f t="array" ref="B75">IFERROR(
INDEX([1]PMDN!$T$2:$T$436,
_xlfn.AGGREGATE(15,6,
(ROW([1]PMDN!$T$2:$T$436)-ROW([1]PMDN!$T$2)+1)/
([1]PMDN!$H$2:$H$436=$A75),
COUNTIF($A$3:$A75,$A75)
)),
"")</f>
        <v>477178180</v>
      </c>
      <c r="E75" s="58" t="s">
        <v>130</v>
      </c>
      <c r="F75" s="5" cm="1">
        <f t="array" ref="F75">IFERROR(
INDEX([1]PMDN!$T$2:$T$436,
_xlfn.AGGREGATE(15,6,
(ROW([1]PMDN!$T$2:$T$436)-ROW([1]PMDN!$T$2)+1)/
([1]PMDN!$H$2:$H$436=$E75),
COUNTIF($E$3:$E75,$E75)
)),
"")</f>
        <v>477178180</v>
      </c>
      <c r="G75" s="73" t="str">
        <f t="shared" si="1"/>
        <v>UMK</v>
      </c>
    </row>
    <row r="76" spans="1:7" x14ac:dyDescent="0.35">
      <c r="A76" s="58" t="s">
        <v>130</v>
      </c>
      <c r="B76" s="5" cm="1">
        <f t="array" ref="B76">IFERROR(
INDEX([1]PMDN!$T$2:$T$436,
_xlfn.AGGREGATE(15,6,
(ROW([1]PMDN!$T$2:$T$436)-ROW([1]PMDN!$T$2)+1)/
([1]PMDN!$H$2:$H$436=$A76),
COUNTIF($A$3:$A76,$A76)
)),
"")</f>
        <v>448072374</v>
      </c>
      <c r="E76" s="58" t="s">
        <v>130</v>
      </c>
      <c r="F76" s="5" cm="1">
        <f t="array" ref="F76">IFERROR(
INDEX([1]PMDN!$T$2:$T$436,
_xlfn.AGGREGATE(15,6,
(ROW([1]PMDN!$T$2:$T$436)-ROW([1]PMDN!$T$2)+1)/
([1]PMDN!$H$2:$H$436=$E76),
COUNTIF($E$3:$E76,$E76)
)),
"")</f>
        <v>448072374</v>
      </c>
      <c r="G76" s="73" t="str">
        <f t="shared" si="1"/>
        <v>UMK</v>
      </c>
    </row>
    <row r="77" spans="1:7" x14ac:dyDescent="0.35">
      <c r="A77" s="58" t="s">
        <v>130</v>
      </c>
      <c r="B77" s="5" cm="1">
        <f t="array" ref="B77">IFERROR(
INDEX([1]PMDN!$T$2:$T$436,
_xlfn.AGGREGATE(15,6,
(ROW([1]PMDN!$T$2:$T$436)-ROW([1]PMDN!$T$2)+1)/
([1]PMDN!$H$2:$H$436=$A77),
COUNTIF($A$3:$A77,$A77)
)),
"")</f>
        <v>305898900</v>
      </c>
      <c r="E77" s="58" t="s">
        <v>130</v>
      </c>
      <c r="F77" s="5" cm="1">
        <f t="array" ref="F77">IFERROR(
INDEX([1]PMDN!$T$2:$T$436,
_xlfn.AGGREGATE(15,6,
(ROW([1]PMDN!$T$2:$T$436)-ROW([1]PMDN!$T$2)+1)/
([1]PMDN!$H$2:$H$436=$E77),
COUNTIF($E$3:$E77,$E77)
)),
"")</f>
        <v>305898900</v>
      </c>
      <c r="G77" s="73" t="str">
        <f t="shared" si="1"/>
        <v>UMK</v>
      </c>
    </row>
    <row r="78" spans="1:7" x14ac:dyDescent="0.35">
      <c r="A78" s="58" t="s">
        <v>130</v>
      </c>
      <c r="B78" s="5" cm="1">
        <f t="array" ref="B78">IFERROR(
INDEX([1]PMDN!$T$2:$T$436,
_xlfn.AGGREGATE(15,6,
(ROW([1]PMDN!$T$2:$T$436)-ROW([1]PMDN!$T$2)+1)/
([1]PMDN!$H$2:$H$436=$A78),
COUNTIF($A$3:$A78,$A78)
)),
"")</f>
        <v>198758430</v>
      </c>
      <c r="E78" s="58" t="s">
        <v>130</v>
      </c>
      <c r="F78" s="5" cm="1">
        <f t="array" ref="F78">IFERROR(
INDEX([1]PMDN!$T$2:$T$436,
_xlfn.AGGREGATE(15,6,
(ROW([1]PMDN!$T$2:$T$436)-ROW([1]PMDN!$T$2)+1)/
([1]PMDN!$H$2:$H$436=$E78),
COUNTIF($E$3:$E78,$E78)
)),
"")</f>
        <v>198758430</v>
      </c>
      <c r="G78" s="73" t="str">
        <f t="shared" si="1"/>
        <v>UMK</v>
      </c>
    </row>
    <row r="79" spans="1:7" x14ac:dyDescent="0.35">
      <c r="A79" s="58" t="s">
        <v>130</v>
      </c>
      <c r="B79" s="5" cm="1">
        <f t="array" ref="B79">IFERROR(
INDEX([1]PMDN!$T$2:$T$436,
_xlfn.AGGREGATE(15,6,
(ROW([1]PMDN!$T$2:$T$436)-ROW([1]PMDN!$T$2)+1)/
([1]PMDN!$H$2:$H$436=$A79),
COUNTIF($A$3:$A79,$A79)
)),
"")</f>
        <v>355605170</v>
      </c>
      <c r="E79" s="58" t="s">
        <v>130</v>
      </c>
      <c r="F79" s="5" cm="1">
        <f t="array" ref="F79">IFERROR(
INDEX([1]PMDN!$T$2:$T$436,
_xlfn.AGGREGATE(15,6,
(ROW([1]PMDN!$T$2:$T$436)-ROW([1]PMDN!$T$2)+1)/
([1]PMDN!$H$2:$H$436=$E79),
COUNTIF($E$3:$E79,$E79)
)),
"")</f>
        <v>355605170</v>
      </c>
      <c r="G79" s="73" t="str">
        <f t="shared" si="1"/>
        <v>UMK</v>
      </c>
    </row>
    <row r="80" spans="1:7" x14ac:dyDescent="0.35">
      <c r="A80" s="58" t="s">
        <v>130</v>
      </c>
      <c r="B80" s="5" cm="1">
        <f t="array" ref="B80">IFERROR(
INDEX([1]PMDN!$T$2:$T$436,
_xlfn.AGGREGATE(15,6,
(ROW([1]PMDN!$T$2:$T$436)-ROW([1]PMDN!$T$2)+1)/
([1]PMDN!$H$2:$H$436=$A80),
COUNTIF($A$3:$A80,$A80)
)),
"")</f>
        <v>243532520</v>
      </c>
      <c r="E80" s="58" t="s">
        <v>130</v>
      </c>
      <c r="F80" s="5" cm="1">
        <f t="array" ref="F80">IFERROR(
INDEX([1]PMDN!$T$2:$T$436,
_xlfn.AGGREGATE(15,6,
(ROW([1]PMDN!$T$2:$T$436)-ROW([1]PMDN!$T$2)+1)/
([1]PMDN!$H$2:$H$436=$E80),
COUNTIF($E$3:$E80,$E80)
)),
"")</f>
        <v>243532520</v>
      </c>
      <c r="G80" s="73" t="str">
        <f t="shared" si="1"/>
        <v>UMK</v>
      </c>
    </row>
    <row r="81" spans="1:7" x14ac:dyDescent="0.35">
      <c r="A81" s="58" t="s">
        <v>225</v>
      </c>
      <c r="B81" s="5" cm="1">
        <f t="array" ref="B81">IFERROR(
INDEX([1]PMDN!$T$2:$T$436,
_xlfn.AGGREGATE(15,6,
(ROW([1]PMDN!$T$2:$T$436)-ROW([1]PMDN!$T$2)+1)/
([1]PMDN!$H$2:$H$436=$A81),
COUNTIF($A$3:$A81,$A81)
)),
"")</f>
        <v>0</v>
      </c>
      <c r="E81" s="58" t="s">
        <v>225</v>
      </c>
      <c r="F81" s="5" cm="1">
        <f t="array" ref="F81">IFERROR(
INDEX([1]PMDN!$T$2:$T$436,
_xlfn.AGGREGATE(15,6,
(ROW([1]PMDN!$T$2:$T$436)-ROW([1]PMDN!$T$2)+1)/
([1]PMDN!$H$2:$H$436=$E81),
COUNTIF($E$3:$E81,$E81)
)),
"")</f>
        <v>0</v>
      </c>
      <c r="G81" s="73" t="str">
        <f t="shared" si="1"/>
        <v>UMK</v>
      </c>
    </row>
    <row r="82" spans="1:7" x14ac:dyDescent="0.35">
      <c r="A82" s="58" t="s">
        <v>27</v>
      </c>
      <c r="B82" s="5" cm="1">
        <f t="array" ref="B82">IFERROR(
INDEX([1]PMDN!$T$2:$T$436,
_xlfn.AGGREGATE(15,6,
(ROW([1]PMDN!$T$2:$T$436)-ROW([1]PMDN!$T$2)+1)/
([1]PMDN!$H$2:$H$436=$A82),
COUNTIF($A$3:$A82,$A82)
)),
"")</f>
        <v>98900338355</v>
      </c>
      <c r="E82" s="58" t="s">
        <v>27</v>
      </c>
      <c r="F82" s="5" cm="1">
        <f t="array" ref="F82">IFERROR(
INDEX([1]PMDN!$T$2:$T$436,
_xlfn.AGGREGATE(15,6,
(ROW([1]PMDN!$T$2:$T$436)-ROW([1]PMDN!$T$2)+1)/
([1]PMDN!$H$2:$H$436=$E82),
COUNTIF($E$3:$E82,$E82)
)),
"")</f>
        <v>98900338355</v>
      </c>
      <c r="G82" s="73" t="str">
        <f t="shared" si="1"/>
        <v>Non-UMK</v>
      </c>
    </row>
    <row r="83" spans="1:7" x14ac:dyDescent="0.35">
      <c r="A83" s="58" t="s">
        <v>27</v>
      </c>
      <c r="B83" s="5" cm="1">
        <f t="array" ref="B83">IFERROR(
INDEX([1]PMDN!$T$2:$T$436,
_xlfn.AGGREGATE(15,6,
(ROW([1]PMDN!$T$2:$T$436)-ROW([1]PMDN!$T$2)+1)/
([1]PMDN!$H$2:$H$436=$A83),
COUNTIF($A$3:$A83,$A83)
)),
"")</f>
        <v>97085487846</v>
      </c>
      <c r="E83" s="58" t="s">
        <v>27</v>
      </c>
      <c r="F83" s="5" cm="1">
        <f t="array" ref="F83">IFERROR(
INDEX([1]PMDN!$T$2:$T$436,
_xlfn.AGGREGATE(15,6,
(ROW([1]PMDN!$T$2:$T$436)-ROW([1]PMDN!$T$2)+1)/
([1]PMDN!$H$2:$H$436=$E83),
COUNTIF($E$3:$E83,$E83)
)),
"")</f>
        <v>97085487846</v>
      </c>
      <c r="G83" s="73" t="str">
        <f t="shared" si="1"/>
        <v>Non-UMK</v>
      </c>
    </row>
    <row r="84" spans="1:7" x14ac:dyDescent="0.35">
      <c r="A84" s="58" t="s">
        <v>35</v>
      </c>
      <c r="B84" s="5" cm="1">
        <f t="array" ref="B84">IFERROR(
INDEX([1]PMDN!$T$2:$T$436,
_xlfn.AGGREGATE(15,6,
(ROW([1]PMDN!$T$2:$T$436)-ROW([1]PMDN!$T$2)+1)/
([1]PMDN!$H$2:$H$436=$A84),
COUNTIF($A$3:$A84,$A84)
)),
"")</f>
        <v>5083845155</v>
      </c>
      <c r="E84" s="58" t="s">
        <v>35</v>
      </c>
      <c r="F84" s="5" cm="1">
        <f t="array" ref="F84">IFERROR(
INDEX([1]PMDN!$T$2:$T$436,
_xlfn.AGGREGATE(15,6,
(ROW([1]PMDN!$T$2:$T$436)-ROW([1]PMDN!$T$2)+1)/
([1]PMDN!$H$2:$H$436=$E84),
COUNTIF($E$3:$E84,$E84)
)),
"")</f>
        <v>5083845155</v>
      </c>
      <c r="G84" s="73" t="str">
        <f t="shared" si="1"/>
        <v>Non-UMK</v>
      </c>
    </row>
    <row r="85" spans="1:7" x14ac:dyDescent="0.35">
      <c r="A85" s="58" t="s">
        <v>35</v>
      </c>
      <c r="B85" s="5" cm="1">
        <f t="array" ref="B85">IFERROR(
INDEX([1]PMDN!$T$2:$T$436,
_xlfn.AGGREGATE(15,6,
(ROW([1]PMDN!$T$2:$T$436)-ROW([1]PMDN!$T$2)+1)/
([1]PMDN!$H$2:$H$436=$A85),
COUNTIF($A$3:$A85,$A85)
)),
"")</f>
        <v>1630638867</v>
      </c>
      <c r="E85" s="58" t="s">
        <v>35</v>
      </c>
      <c r="F85" s="5" cm="1">
        <f t="array" ref="F85">IFERROR(
INDEX([1]PMDN!$T$2:$T$436,
_xlfn.AGGREGATE(15,6,
(ROW([1]PMDN!$T$2:$T$436)-ROW([1]PMDN!$T$2)+1)/
([1]PMDN!$H$2:$H$436=$E85),
COUNTIF($E$3:$E85,$E85)
)),
"")</f>
        <v>1630638867</v>
      </c>
      <c r="G85" s="73" t="str">
        <f t="shared" si="1"/>
        <v>UMK</v>
      </c>
    </row>
    <row r="86" spans="1:7" x14ac:dyDescent="0.35">
      <c r="A86" s="58" t="s">
        <v>35</v>
      </c>
      <c r="B86" s="5" cm="1">
        <f t="array" ref="B86">IFERROR(
INDEX([1]PMDN!$T$2:$T$436,
_xlfn.AGGREGATE(15,6,
(ROW([1]PMDN!$T$2:$T$436)-ROW([1]PMDN!$T$2)+1)/
([1]PMDN!$H$2:$H$436=$A86),
COUNTIF($A$3:$A86,$A86)
)),
"")</f>
        <v>0</v>
      </c>
      <c r="E86" s="58" t="s">
        <v>35</v>
      </c>
      <c r="F86" s="5" cm="1">
        <f t="array" ref="F86">IFERROR(
INDEX([1]PMDN!$T$2:$T$436,
_xlfn.AGGREGATE(15,6,
(ROW([1]PMDN!$T$2:$T$436)-ROW([1]PMDN!$T$2)+1)/
([1]PMDN!$H$2:$H$436=$E86),
COUNTIF($E$3:$E86,$E86)
)),
"")</f>
        <v>0</v>
      </c>
      <c r="G86" s="73" t="str">
        <f t="shared" si="1"/>
        <v>UMK</v>
      </c>
    </row>
    <row r="87" spans="1:7" x14ac:dyDescent="0.35">
      <c r="A87" s="58" t="s">
        <v>226</v>
      </c>
      <c r="B87" s="5" cm="1">
        <f t="array" ref="B87">IFERROR(
INDEX([1]PMDN!$T$2:$T$436,
_xlfn.AGGREGATE(15,6,
(ROW([1]PMDN!$T$2:$T$436)-ROW([1]PMDN!$T$2)+1)/
([1]PMDN!$H$2:$H$436=$A87),
COUNTIF($A$3:$A87,$A87)
)),
"")</f>
        <v>10251765478</v>
      </c>
      <c r="E87" s="58" t="s">
        <v>226</v>
      </c>
      <c r="F87" s="5" cm="1">
        <f t="array" ref="F87">IFERROR(
INDEX([1]PMDN!$T$2:$T$436,
_xlfn.AGGREGATE(15,6,
(ROW([1]PMDN!$T$2:$T$436)-ROW([1]PMDN!$T$2)+1)/
([1]PMDN!$H$2:$H$436=$E87),
COUNTIF($E$3:$E87,$E87)
)),
"")</f>
        <v>10251765478</v>
      </c>
      <c r="G87" s="73" t="str">
        <f t="shared" si="1"/>
        <v>Non-UMK</v>
      </c>
    </row>
    <row r="88" spans="1:7" x14ac:dyDescent="0.35">
      <c r="A88" s="58" t="s">
        <v>226</v>
      </c>
      <c r="B88" s="5" cm="1">
        <f t="array" ref="B88">IFERROR(
INDEX([1]PMDN!$T$2:$T$436,
_xlfn.AGGREGATE(15,6,
(ROW([1]PMDN!$T$2:$T$436)-ROW([1]PMDN!$T$2)+1)/
([1]PMDN!$H$2:$H$436=$A88),
COUNTIF($A$3:$A88,$A88)
)),
"")</f>
        <v>1143002802</v>
      </c>
      <c r="E88" s="58" t="s">
        <v>226</v>
      </c>
      <c r="F88" s="5" cm="1">
        <f t="array" ref="F88">IFERROR(
INDEX([1]PMDN!$T$2:$T$436,
_xlfn.AGGREGATE(15,6,
(ROW([1]PMDN!$T$2:$T$436)-ROW([1]PMDN!$T$2)+1)/
([1]PMDN!$H$2:$H$436=$E88),
COUNTIF($E$3:$E88,$E88)
)),
"")</f>
        <v>1143002802</v>
      </c>
      <c r="G88" s="73" t="str">
        <f t="shared" si="1"/>
        <v>UMK</v>
      </c>
    </row>
    <row r="89" spans="1:7" x14ac:dyDescent="0.35">
      <c r="A89" s="58" t="s">
        <v>37</v>
      </c>
      <c r="B89" s="5" cm="1">
        <f t="array" ref="B89">IFERROR(
INDEX([1]PMDN!$T$2:$T$436,
_xlfn.AGGREGATE(15,6,
(ROW([1]PMDN!$T$2:$T$436)-ROW([1]PMDN!$T$2)+1)/
([1]PMDN!$H$2:$H$436=$A89),
COUNTIF($A$3:$A89,$A89)
)),
"")</f>
        <v>110898622709</v>
      </c>
      <c r="E89" s="58" t="s">
        <v>37</v>
      </c>
      <c r="F89" s="5" cm="1">
        <f t="array" ref="F89">IFERROR(
INDEX([1]PMDN!$T$2:$T$436,
_xlfn.AGGREGATE(15,6,
(ROW([1]PMDN!$T$2:$T$436)-ROW([1]PMDN!$T$2)+1)/
([1]PMDN!$H$2:$H$436=$E89),
COUNTIF($E$3:$E89,$E89)
)),
"")</f>
        <v>110898622709</v>
      </c>
      <c r="G89" s="73" t="str">
        <f t="shared" si="1"/>
        <v>Non-UMK</v>
      </c>
    </row>
    <row r="90" spans="1:7" x14ac:dyDescent="0.35">
      <c r="A90" s="58" t="s">
        <v>38</v>
      </c>
      <c r="B90" s="5" cm="1">
        <f t="array" ref="B90">IFERROR(
INDEX([1]PMDN!$T$2:$T$436,
_xlfn.AGGREGATE(15,6,
(ROW([1]PMDN!$T$2:$T$436)-ROW([1]PMDN!$T$2)+1)/
([1]PMDN!$H$2:$H$436=$A90),
COUNTIF($A$3:$A90,$A90)
)),
"")</f>
        <v>0</v>
      </c>
      <c r="E90" s="58" t="s">
        <v>38</v>
      </c>
      <c r="F90" s="5" cm="1">
        <f t="array" ref="F90">IFERROR(
INDEX([1]PMDN!$T$2:$T$436,
_xlfn.AGGREGATE(15,6,
(ROW([1]PMDN!$T$2:$T$436)-ROW([1]PMDN!$T$2)+1)/
([1]PMDN!$H$2:$H$436=$E90),
COUNTIF($E$3:$E90,$E90)
)),
"")</f>
        <v>0</v>
      </c>
      <c r="G90" s="73" t="str">
        <f t="shared" si="1"/>
        <v>UMK</v>
      </c>
    </row>
    <row r="91" spans="1:7" x14ac:dyDescent="0.35">
      <c r="A91" s="58" t="s">
        <v>40</v>
      </c>
      <c r="B91" s="5" cm="1">
        <f t="array" ref="B91">IFERROR(
INDEX([1]PMDN!$T$2:$T$436,
_xlfn.AGGREGATE(15,6,
(ROW([1]PMDN!$T$2:$T$436)-ROW([1]PMDN!$T$2)+1)/
([1]PMDN!$H$2:$H$436=$A91),
COUNTIF($A$3:$A91,$A91)
)),
"")</f>
        <v>1250000</v>
      </c>
      <c r="E91" s="58" t="s">
        <v>40</v>
      </c>
      <c r="F91" s="5" cm="1">
        <f t="array" ref="F91">IFERROR(
INDEX([1]PMDN!$T$2:$T$436,
_xlfn.AGGREGATE(15,6,
(ROW([1]PMDN!$T$2:$T$436)-ROW([1]PMDN!$T$2)+1)/
([1]PMDN!$H$2:$H$436=$E91),
COUNTIF($E$3:$E91,$E91)
)),
"")</f>
        <v>1250000</v>
      </c>
      <c r="G91" s="73" t="str">
        <f t="shared" si="1"/>
        <v>UMK</v>
      </c>
    </row>
    <row r="92" spans="1:7" x14ac:dyDescent="0.35">
      <c r="A92" s="58" t="s">
        <v>40</v>
      </c>
      <c r="B92" s="5" cm="1">
        <f t="array" ref="B92">IFERROR(
INDEX([1]PMDN!$T$2:$T$436,
_xlfn.AGGREGATE(15,6,
(ROW([1]PMDN!$T$2:$T$436)-ROW([1]PMDN!$T$2)+1)/
([1]PMDN!$H$2:$H$436=$A92),
COUNTIF($A$3:$A92,$A92)
)),
"")</f>
        <v>366766582</v>
      </c>
      <c r="E92" s="58" t="s">
        <v>40</v>
      </c>
      <c r="F92" s="5" cm="1">
        <f t="array" ref="F92">IFERROR(
INDEX([1]PMDN!$T$2:$T$436,
_xlfn.AGGREGATE(15,6,
(ROW([1]PMDN!$T$2:$T$436)-ROW([1]PMDN!$T$2)+1)/
([1]PMDN!$H$2:$H$436=$E92),
COUNTIF($E$3:$E92,$E92)
)),
"")</f>
        <v>366766582</v>
      </c>
      <c r="G92" s="73" t="str">
        <f t="shared" si="1"/>
        <v>UMK</v>
      </c>
    </row>
    <row r="93" spans="1:7" x14ac:dyDescent="0.35">
      <c r="A93" s="58" t="s">
        <v>40</v>
      </c>
      <c r="B93" s="5" cm="1">
        <f t="array" ref="B93">IFERROR(
INDEX([1]PMDN!$T$2:$T$436,
_xlfn.AGGREGATE(15,6,
(ROW([1]PMDN!$T$2:$T$436)-ROW([1]PMDN!$T$2)+1)/
([1]PMDN!$H$2:$H$436=$A93),
COUNTIF($A$3:$A93,$A93)
)),
"")</f>
        <v>366766582</v>
      </c>
      <c r="E93" s="58" t="s">
        <v>40</v>
      </c>
      <c r="F93" s="5" cm="1">
        <f t="array" ref="F93">IFERROR(
INDEX([1]PMDN!$T$2:$T$436,
_xlfn.AGGREGATE(15,6,
(ROW([1]PMDN!$T$2:$T$436)-ROW([1]PMDN!$T$2)+1)/
([1]PMDN!$H$2:$H$436=$E93),
COUNTIF($E$3:$E93,$E93)
)),
"")</f>
        <v>366766582</v>
      </c>
      <c r="G93" s="73" t="str">
        <f t="shared" si="1"/>
        <v>UMK</v>
      </c>
    </row>
    <row r="94" spans="1:7" x14ac:dyDescent="0.35">
      <c r="A94" s="58" t="s">
        <v>40</v>
      </c>
      <c r="B94" s="5" cm="1">
        <f t="array" ref="B94">IFERROR(
INDEX([1]PMDN!$T$2:$T$436,
_xlfn.AGGREGATE(15,6,
(ROW([1]PMDN!$T$2:$T$436)-ROW([1]PMDN!$T$2)+1)/
([1]PMDN!$H$2:$H$436=$A94),
COUNTIF($A$3:$A94,$A94)
)),
"")</f>
        <v>13447078262</v>
      </c>
      <c r="E94" s="58" t="s">
        <v>40</v>
      </c>
      <c r="F94" s="5" cm="1">
        <f t="array" ref="F94">IFERROR(
INDEX([1]PMDN!$T$2:$T$436,
_xlfn.AGGREGATE(15,6,
(ROW([1]PMDN!$T$2:$T$436)-ROW([1]PMDN!$T$2)+1)/
([1]PMDN!$H$2:$H$436=$E94),
COUNTIF($E$3:$E94,$E94)
)),
"")</f>
        <v>13447078262</v>
      </c>
      <c r="G94" s="73" t="str">
        <f t="shared" si="1"/>
        <v>Non-UMK</v>
      </c>
    </row>
    <row r="95" spans="1:7" x14ac:dyDescent="0.35">
      <c r="A95" s="58" t="s">
        <v>42</v>
      </c>
      <c r="B95" s="5" cm="1">
        <f t="array" ref="B95">IFERROR(
INDEX([1]PMDN!$T$2:$T$436,
_xlfn.AGGREGATE(15,6,
(ROW([1]PMDN!$T$2:$T$436)-ROW([1]PMDN!$T$2)+1)/
([1]PMDN!$H$2:$H$436=$A95),
COUNTIF($A$3:$A95,$A95)
)),
"")</f>
        <v>33850347602</v>
      </c>
      <c r="E95" s="58" t="s">
        <v>42</v>
      </c>
      <c r="F95" s="5" cm="1">
        <f t="array" ref="F95">IFERROR(
INDEX([1]PMDN!$T$2:$T$436,
_xlfn.AGGREGATE(15,6,
(ROW([1]PMDN!$T$2:$T$436)-ROW([1]PMDN!$T$2)+1)/
([1]PMDN!$H$2:$H$436=$E95),
COUNTIF($E$3:$E95,$E95)
)),
"")</f>
        <v>33850347602</v>
      </c>
      <c r="G95" s="73" t="str">
        <f t="shared" si="1"/>
        <v>Non-UMK</v>
      </c>
    </row>
    <row r="96" spans="1:7" x14ac:dyDescent="0.35">
      <c r="A96" s="58" t="s">
        <v>43</v>
      </c>
      <c r="B96" s="5" cm="1">
        <f t="array" ref="B96">IFERROR(
INDEX([1]PMDN!$T$2:$T$436,
_xlfn.AGGREGATE(15,6,
(ROW([1]PMDN!$T$2:$T$436)-ROW([1]PMDN!$T$2)+1)/
([1]PMDN!$H$2:$H$436=$A96),
COUNTIF($A$3:$A96,$A96)
)),
"")</f>
        <v>0</v>
      </c>
      <c r="E96" s="58" t="s">
        <v>43</v>
      </c>
      <c r="F96" s="5" cm="1">
        <f t="array" ref="F96">IFERROR(
INDEX([1]PMDN!$T$2:$T$436,
_xlfn.AGGREGATE(15,6,
(ROW([1]PMDN!$T$2:$T$436)-ROW([1]PMDN!$T$2)+1)/
([1]PMDN!$H$2:$H$436=$E96),
COUNTIF($E$3:$E96,$E96)
)),
"")</f>
        <v>0</v>
      </c>
      <c r="G96" s="73" t="str">
        <f t="shared" si="1"/>
        <v>UMK</v>
      </c>
    </row>
    <row r="97" spans="1:7" x14ac:dyDescent="0.35">
      <c r="A97" s="58" t="s">
        <v>44</v>
      </c>
      <c r="B97" s="5" cm="1">
        <f t="array" ref="B97">IFERROR(
INDEX([1]PMDN!$T$2:$T$436,
_xlfn.AGGREGATE(15,6,
(ROW([1]PMDN!$T$2:$T$436)-ROW([1]PMDN!$T$2)+1)/
([1]PMDN!$H$2:$H$436=$A97),
COUNTIF($A$3:$A97,$A97)
)),
"")</f>
        <v>13629502058</v>
      </c>
      <c r="E97" s="58" t="s">
        <v>44</v>
      </c>
      <c r="F97" s="5" cm="1">
        <f t="array" ref="F97">IFERROR(
INDEX([1]PMDN!$T$2:$T$436,
_xlfn.AGGREGATE(15,6,
(ROW([1]PMDN!$T$2:$T$436)-ROW([1]PMDN!$T$2)+1)/
([1]PMDN!$H$2:$H$436=$E97),
COUNTIF($E$3:$E97,$E97)
)),
"")</f>
        <v>13629502058</v>
      </c>
      <c r="G97" s="73" t="str">
        <f t="shared" si="1"/>
        <v>Non-UMK</v>
      </c>
    </row>
    <row r="98" spans="1:7" x14ac:dyDescent="0.35">
      <c r="A98" s="58" t="s">
        <v>44</v>
      </c>
      <c r="B98" s="5" cm="1">
        <f t="array" ref="B98">IFERROR(
INDEX([1]PMDN!$T$2:$T$436,
_xlfn.AGGREGATE(15,6,
(ROW([1]PMDN!$T$2:$T$436)-ROW([1]PMDN!$T$2)+1)/
([1]PMDN!$H$2:$H$436=$A98),
COUNTIF($A$3:$A98,$A98)
)),
"")</f>
        <v>34656648266</v>
      </c>
      <c r="E98" s="58" t="s">
        <v>44</v>
      </c>
      <c r="F98" s="5" cm="1">
        <f t="array" ref="F98">IFERROR(
INDEX([1]PMDN!$T$2:$T$436,
_xlfn.AGGREGATE(15,6,
(ROW([1]PMDN!$T$2:$T$436)-ROW([1]PMDN!$T$2)+1)/
([1]PMDN!$H$2:$H$436=$E98),
COUNTIF($E$3:$E98,$E98)
)),
"")</f>
        <v>34656648266</v>
      </c>
      <c r="G98" s="73" t="str">
        <f t="shared" si="1"/>
        <v>Non-UMK</v>
      </c>
    </row>
    <row r="99" spans="1:7" x14ac:dyDescent="0.35">
      <c r="A99" s="58" t="s">
        <v>45</v>
      </c>
      <c r="B99" s="5" cm="1">
        <f t="array" ref="B99">IFERROR(
INDEX([1]PMDN!$T$2:$T$436,
_xlfn.AGGREGATE(15,6,
(ROW([1]PMDN!$T$2:$T$436)-ROW([1]PMDN!$T$2)+1)/
([1]PMDN!$H$2:$H$436=$A99),
COUNTIF($A$3:$A99,$A99)
)),
"")</f>
        <v>0</v>
      </c>
      <c r="E99" s="58" t="s">
        <v>45</v>
      </c>
      <c r="F99" s="5" cm="1">
        <f t="array" ref="F99">IFERROR(
INDEX([1]PMDN!$T$2:$T$436,
_xlfn.AGGREGATE(15,6,
(ROW([1]PMDN!$T$2:$T$436)-ROW([1]PMDN!$T$2)+1)/
([1]PMDN!$H$2:$H$436=$E99),
COUNTIF($E$3:$E99,$E99)
)),
"")</f>
        <v>0</v>
      </c>
      <c r="G99" s="73" t="str">
        <f t="shared" si="1"/>
        <v>UMK</v>
      </c>
    </row>
    <row r="100" spans="1:7" x14ac:dyDescent="0.35">
      <c r="A100" s="58" t="s">
        <v>46</v>
      </c>
      <c r="B100" s="5" cm="1">
        <f t="array" ref="B100">IFERROR(
INDEX([1]PMDN!$T$2:$T$436,
_xlfn.AGGREGATE(15,6,
(ROW([1]PMDN!$T$2:$T$436)-ROW([1]PMDN!$T$2)+1)/
([1]PMDN!$H$2:$H$436=$A100),
COUNTIF($A$3:$A100,$A100)
)),
"")</f>
        <v>545903768178</v>
      </c>
      <c r="E100" s="58" t="s">
        <v>46</v>
      </c>
      <c r="F100" s="5" cm="1">
        <f t="array" ref="F100">IFERROR(
INDEX([1]PMDN!$T$2:$T$436,
_xlfn.AGGREGATE(15,6,
(ROW([1]PMDN!$T$2:$T$436)-ROW([1]PMDN!$T$2)+1)/
([1]PMDN!$H$2:$H$436=$E100),
COUNTIF($E$3:$E100,$E100)
)),
"")</f>
        <v>545903768178</v>
      </c>
      <c r="G100" s="73" t="str">
        <f t="shared" si="1"/>
        <v>Non-UMK</v>
      </c>
    </row>
    <row r="101" spans="1:7" x14ac:dyDescent="0.35">
      <c r="A101" s="58" t="s">
        <v>48</v>
      </c>
      <c r="B101" s="5" cm="1">
        <f t="array" ref="B101">IFERROR(
INDEX([1]PMDN!$T$2:$T$436,
_xlfn.AGGREGATE(15,6,
(ROW([1]PMDN!$T$2:$T$436)-ROW([1]PMDN!$T$2)+1)/
([1]PMDN!$H$2:$H$436=$A101),
COUNTIF($A$3:$A101,$A101)
)),
"")</f>
        <v>0</v>
      </c>
      <c r="E101" s="58" t="s">
        <v>48</v>
      </c>
      <c r="F101" s="5" cm="1">
        <f t="array" ref="F101">IFERROR(
INDEX([1]PMDN!$T$2:$T$436,
_xlfn.AGGREGATE(15,6,
(ROW([1]PMDN!$T$2:$T$436)-ROW([1]PMDN!$T$2)+1)/
([1]PMDN!$H$2:$H$436=$E101),
COUNTIF($E$3:$E101,$E101)
)),
"")</f>
        <v>0</v>
      </c>
      <c r="G101" s="73" t="str">
        <f t="shared" si="1"/>
        <v>UMK</v>
      </c>
    </row>
    <row r="102" spans="1:7" x14ac:dyDescent="0.35">
      <c r="A102" s="58" t="s">
        <v>52</v>
      </c>
      <c r="B102" s="5" cm="1">
        <f t="array" ref="B102">IFERROR(
INDEX([1]PMDN!$T$2:$T$436,
_xlfn.AGGREGATE(15,6,
(ROW([1]PMDN!$T$2:$T$436)-ROW([1]PMDN!$T$2)+1)/
([1]PMDN!$H$2:$H$436=$A102),
COUNTIF($A$3:$A102,$A102)
)),
"")</f>
        <v>66119002982</v>
      </c>
      <c r="E102" s="58" t="s">
        <v>52</v>
      </c>
      <c r="F102" s="5" cm="1">
        <f t="array" ref="F102">IFERROR(
INDEX([1]PMDN!$T$2:$T$436,
_xlfn.AGGREGATE(15,6,
(ROW([1]PMDN!$T$2:$T$436)-ROW([1]PMDN!$T$2)+1)/
([1]PMDN!$H$2:$H$436=$E102),
COUNTIF($E$3:$E102,$E102)
)),
"")</f>
        <v>66119002982</v>
      </c>
      <c r="G102" s="73" t="str">
        <f t="shared" si="1"/>
        <v>Non-UMK</v>
      </c>
    </row>
    <row r="103" spans="1:7" x14ac:dyDescent="0.35">
      <c r="A103" s="58" t="s">
        <v>52</v>
      </c>
      <c r="B103" s="5" cm="1">
        <f t="array" ref="B103">IFERROR(
INDEX([1]PMDN!$T$2:$T$436,
_xlfn.AGGREGATE(15,6,
(ROW([1]PMDN!$T$2:$T$436)-ROW([1]PMDN!$T$2)+1)/
([1]PMDN!$H$2:$H$436=$A103),
COUNTIF($A$3:$A103,$A103)
)),
"")</f>
        <v>8564550571</v>
      </c>
      <c r="E103" s="58" t="s">
        <v>52</v>
      </c>
      <c r="F103" s="5" cm="1">
        <f t="array" ref="F103">IFERROR(
INDEX([1]PMDN!$T$2:$T$436,
_xlfn.AGGREGATE(15,6,
(ROW([1]PMDN!$T$2:$T$436)-ROW([1]PMDN!$T$2)+1)/
([1]PMDN!$H$2:$H$436=$E103),
COUNTIF($E$3:$E103,$E103)
)),
"")</f>
        <v>8564550571</v>
      </c>
      <c r="G103" s="73" t="str">
        <f t="shared" si="1"/>
        <v>Non-UMK</v>
      </c>
    </row>
    <row r="104" spans="1:7" x14ac:dyDescent="0.35">
      <c r="A104" s="58" t="s">
        <v>52</v>
      </c>
      <c r="B104" s="5" cm="1">
        <f t="array" ref="B104">IFERROR(
INDEX([1]PMDN!$T$2:$T$436,
_xlfn.AGGREGATE(15,6,
(ROW([1]PMDN!$T$2:$T$436)-ROW([1]PMDN!$T$2)+1)/
([1]PMDN!$H$2:$H$436=$A104),
COUNTIF($A$3:$A104,$A104)
)),
"")</f>
        <v>28500774154</v>
      </c>
      <c r="E104" s="58" t="s">
        <v>52</v>
      </c>
      <c r="F104" s="5" cm="1">
        <f t="array" ref="F104">IFERROR(
INDEX([1]PMDN!$T$2:$T$436,
_xlfn.AGGREGATE(15,6,
(ROW([1]PMDN!$T$2:$T$436)-ROW([1]PMDN!$T$2)+1)/
([1]PMDN!$H$2:$H$436=$E104),
COUNTIF($E$3:$E104,$E104)
)),
"")</f>
        <v>28500774154</v>
      </c>
      <c r="G104" s="73" t="str">
        <f t="shared" si="1"/>
        <v>Non-UMK</v>
      </c>
    </row>
    <row r="105" spans="1:7" x14ac:dyDescent="0.35">
      <c r="A105" s="58" t="s">
        <v>52</v>
      </c>
      <c r="B105" s="5" cm="1">
        <f t="array" ref="B105">IFERROR(
INDEX([1]PMDN!$T$2:$T$436,
_xlfn.AGGREGATE(15,6,
(ROW([1]PMDN!$T$2:$T$436)-ROW([1]PMDN!$T$2)+1)/
([1]PMDN!$H$2:$H$436=$A105),
COUNTIF($A$3:$A105,$A105)
)),
"")</f>
        <v>8564550571</v>
      </c>
      <c r="E105" s="58" t="s">
        <v>52</v>
      </c>
      <c r="F105" s="5" cm="1">
        <f t="array" ref="F105">IFERROR(
INDEX([1]PMDN!$T$2:$T$436,
_xlfn.AGGREGATE(15,6,
(ROW([1]PMDN!$T$2:$T$436)-ROW([1]PMDN!$T$2)+1)/
([1]PMDN!$H$2:$H$436=$E105),
COUNTIF($E$3:$E105,$E105)
)),
"")</f>
        <v>8564550571</v>
      </c>
      <c r="G105" s="73" t="str">
        <f t="shared" si="1"/>
        <v>Non-UMK</v>
      </c>
    </row>
    <row r="106" spans="1:7" x14ac:dyDescent="0.35">
      <c r="A106" s="58" t="s">
        <v>59</v>
      </c>
      <c r="B106" s="5" cm="1">
        <f t="array" ref="B106">IFERROR(
INDEX([1]PMDN!$T$2:$T$436,
_xlfn.AGGREGATE(15,6,
(ROW([1]PMDN!$T$2:$T$436)-ROW([1]PMDN!$T$2)+1)/
([1]PMDN!$H$2:$H$436=$A106),
COUNTIF($A$3:$A106,$A106)
)),
"")</f>
        <v>72502427</v>
      </c>
      <c r="E106" s="58" t="s">
        <v>59</v>
      </c>
      <c r="F106" s="5" cm="1">
        <f t="array" ref="F106">IFERROR(
INDEX([1]PMDN!$T$2:$T$436,
_xlfn.AGGREGATE(15,6,
(ROW([1]PMDN!$T$2:$T$436)-ROW([1]PMDN!$T$2)+1)/
([1]PMDN!$H$2:$H$436=$E106),
COUNTIF($E$3:$E106,$E106)
)),
"")</f>
        <v>72502427</v>
      </c>
      <c r="G106" s="73" t="str">
        <f t="shared" si="1"/>
        <v>UMK</v>
      </c>
    </row>
    <row r="107" spans="1:7" x14ac:dyDescent="0.35">
      <c r="A107" s="58" t="s">
        <v>67</v>
      </c>
      <c r="B107" s="5" cm="1">
        <f t="array" ref="B107">IFERROR(
INDEX([1]PMDN!$T$2:$T$436,
_xlfn.AGGREGATE(15,6,
(ROW([1]PMDN!$T$2:$T$436)-ROW([1]PMDN!$T$2)+1)/
([1]PMDN!$H$2:$H$436=$A107),
COUNTIF($A$3:$A107,$A107)
)),
"")</f>
        <v>10564212292</v>
      </c>
      <c r="E107" s="58" t="s">
        <v>67</v>
      </c>
      <c r="F107" s="5" cm="1">
        <f t="array" ref="F107">IFERROR(
INDEX([1]PMDN!$T$2:$T$436,
_xlfn.AGGREGATE(15,6,
(ROW([1]PMDN!$T$2:$T$436)-ROW([1]PMDN!$T$2)+1)/
([1]PMDN!$H$2:$H$436=$E107),
COUNTIF($E$3:$E107,$E107)
)),
"")</f>
        <v>10564212292</v>
      </c>
      <c r="G107" s="73" t="str">
        <f t="shared" si="1"/>
        <v>Non-UMK</v>
      </c>
    </row>
    <row r="108" spans="1:7" x14ac:dyDescent="0.35">
      <c r="A108" s="58" t="s">
        <v>69</v>
      </c>
      <c r="B108" s="5" cm="1">
        <f t="array" ref="B108">IFERROR(
INDEX([1]PMDN!$T$2:$T$436,
_xlfn.AGGREGATE(15,6,
(ROW([1]PMDN!$T$2:$T$436)-ROW([1]PMDN!$T$2)+1)/
([1]PMDN!$H$2:$H$436=$A108),
COUNTIF($A$3:$A108,$A108)
)),
"")</f>
        <v>195043259482</v>
      </c>
      <c r="E108" s="58" t="s">
        <v>69</v>
      </c>
      <c r="F108" s="5" cm="1">
        <f t="array" ref="F108">IFERROR(
INDEX([1]PMDN!$T$2:$T$436,
_xlfn.AGGREGATE(15,6,
(ROW([1]PMDN!$T$2:$T$436)-ROW([1]PMDN!$T$2)+1)/
([1]PMDN!$H$2:$H$436=$E108),
COUNTIF($E$3:$E108,$E108)
)),
"")</f>
        <v>195043259482</v>
      </c>
      <c r="G108" s="73" t="str">
        <f t="shared" si="1"/>
        <v>Non-UMK</v>
      </c>
    </row>
    <row r="109" spans="1:7" x14ac:dyDescent="0.35">
      <c r="A109" s="58" t="s">
        <v>70</v>
      </c>
      <c r="B109" s="5" cm="1">
        <f t="array" ref="B109">IFERROR(
INDEX([1]PMDN!$T$2:$T$436,
_xlfn.AGGREGATE(15,6,
(ROW([1]PMDN!$T$2:$T$436)-ROW([1]PMDN!$T$2)+1)/
([1]PMDN!$H$2:$H$436=$A109),
COUNTIF($A$3:$A109,$A109)
)),
"")</f>
        <v>50810541</v>
      </c>
      <c r="E109" s="58" t="s">
        <v>70</v>
      </c>
      <c r="F109" s="5" cm="1">
        <f t="array" ref="F109">IFERROR(
INDEX([1]PMDN!$T$2:$T$436,
_xlfn.AGGREGATE(15,6,
(ROW([1]PMDN!$T$2:$T$436)-ROW([1]PMDN!$T$2)+1)/
([1]PMDN!$H$2:$H$436=$E109),
COUNTIF($E$3:$E109,$E109)
)),
"")</f>
        <v>50810541</v>
      </c>
      <c r="G109" s="73" t="str">
        <f t="shared" si="1"/>
        <v>UMK</v>
      </c>
    </row>
    <row r="110" spans="1:7" x14ac:dyDescent="0.35">
      <c r="A110" s="58" t="s">
        <v>75</v>
      </c>
      <c r="B110" s="5" cm="1">
        <f t="array" ref="B110">IFERROR(
INDEX([1]PMDN!$T$2:$T$436,
_xlfn.AGGREGATE(15,6,
(ROW([1]PMDN!$T$2:$T$436)-ROW([1]PMDN!$T$2)+1)/
([1]PMDN!$H$2:$H$436=$A110),
COUNTIF($A$3:$A110,$A110)
)),
"")</f>
        <v>44825787</v>
      </c>
      <c r="E110" s="58" t="s">
        <v>75</v>
      </c>
      <c r="F110" s="5" cm="1">
        <f t="array" ref="F110">IFERROR(
INDEX([1]PMDN!$T$2:$T$436,
_xlfn.AGGREGATE(15,6,
(ROW([1]PMDN!$T$2:$T$436)-ROW([1]PMDN!$T$2)+1)/
([1]PMDN!$H$2:$H$436=$E110),
COUNTIF($E$3:$E110,$E110)
)),
"")</f>
        <v>44825787</v>
      </c>
      <c r="G110" s="73" t="str">
        <f t="shared" si="1"/>
        <v>UMK</v>
      </c>
    </row>
    <row r="111" spans="1:7" x14ac:dyDescent="0.35">
      <c r="A111" s="58" t="s">
        <v>77</v>
      </c>
      <c r="B111" s="5" cm="1">
        <f t="array" ref="B111">IFERROR(
INDEX([1]PMDN!$T$2:$T$436,
_xlfn.AGGREGATE(15,6,
(ROW([1]PMDN!$T$2:$T$436)-ROW([1]PMDN!$T$2)+1)/
([1]PMDN!$H$2:$H$436=$A111),
COUNTIF($A$3:$A111,$A111)
)),
"")</f>
        <v>123883354550</v>
      </c>
      <c r="E111" s="58" t="s">
        <v>77</v>
      </c>
      <c r="F111" s="5" cm="1">
        <f t="array" ref="F111">IFERROR(
INDEX([1]PMDN!$T$2:$T$436,
_xlfn.AGGREGATE(15,6,
(ROW([1]PMDN!$T$2:$T$436)-ROW([1]PMDN!$T$2)+1)/
([1]PMDN!$H$2:$H$436=$E111),
COUNTIF($E$3:$E111,$E111)
)),
"")</f>
        <v>123883354550</v>
      </c>
      <c r="G111" s="73" t="str">
        <f t="shared" si="1"/>
        <v>Non-UMK</v>
      </c>
    </row>
    <row r="112" spans="1:7" x14ac:dyDescent="0.35">
      <c r="A112" s="58" t="s">
        <v>78</v>
      </c>
      <c r="B112" s="5" cm="1">
        <f t="array" ref="B112">IFERROR(
INDEX([1]PMDN!$T$2:$T$436,
_xlfn.AGGREGATE(15,6,
(ROW([1]PMDN!$T$2:$T$436)-ROW([1]PMDN!$T$2)+1)/
([1]PMDN!$H$2:$H$436=$A112),
COUNTIF($A$3:$A112,$A112)
)),
"")</f>
        <v>1160320000</v>
      </c>
      <c r="E112" s="58" t="s">
        <v>78</v>
      </c>
      <c r="F112" s="5" cm="1">
        <f t="array" ref="F112">IFERROR(
INDEX([1]PMDN!$T$2:$T$436,
_xlfn.AGGREGATE(15,6,
(ROW([1]PMDN!$T$2:$T$436)-ROW([1]PMDN!$T$2)+1)/
([1]PMDN!$H$2:$H$436=$E112),
COUNTIF($E$3:$E112,$E112)
)),
"")</f>
        <v>1160320000</v>
      </c>
      <c r="G112" s="73" t="str">
        <f t="shared" si="1"/>
        <v>UMK</v>
      </c>
    </row>
    <row r="113" spans="1:7" x14ac:dyDescent="0.35">
      <c r="A113" s="58" t="s">
        <v>227</v>
      </c>
      <c r="B113" s="5" cm="1">
        <f t="array" ref="B113">IFERROR(
INDEX([1]PMDN!$T$2:$T$436,
_xlfn.AGGREGATE(15,6,
(ROW([1]PMDN!$T$2:$T$436)-ROW([1]PMDN!$T$2)+1)/
([1]PMDN!$H$2:$H$436=$A113),
COUNTIF($A$3:$A113,$A113)
)),
"")</f>
        <v>0</v>
      </c>
      <c r="E113" s="58" t="s">
        <v>227</v>
      </c>
      <c r="F113" s="5" cm="1">
        <f t="array" ref="F113">IFERROR(
INDEX([1]PMDN!$T$2:$T$436,
_xlfn.AGGREGATE(15,6,
(ROW([1]PMDN!$T$2:$T$436)-ROW([1]PMDN!$T$2)+1)/
([1]PMDN!$H$2:$H$436=$E113),
COUNTIF($E$3:$E113,$E113)
)),
"")</f>
        <v>0</v>
      </c>
      <c r="G113" s="73" t="str">
        <f t="shared" si="1"/>
        <v>UMK</v>
      </c>
    </row>
    <row r="114" spans="1:7" x14ac:dyDescent="0.35">
      <c r="A114" s="58" t="s">
        <v>227</v>
      </c>
      <c r="B114" s="5" cm="1">
        <f t="array" ref="B114">IFERROR(
INDEX([1]PMDN!$T$2:$T$436,
_xlfn.AGGREGATE(15,6,
(ROW([1]PMDN!$T$2:$T$436)-ROW([1]PMDN!$T$2)+1)/
([1]PMDN!$H$2:$H$436=$A114),
COUNTIF($A$3:$A114,$A114)
)),
"")</f>
        <v>0</v>
      </c>
      <c r="E114" s="58" t="s">
        <v>227</v>
      </c>
      <c r="F114" s="5" cm="1">
        <f t="array" ref="F114">IFERROR(
INDEX([1]PMDN!$T$2:$T$436,
_xlfn.AGGREGATE(15,6,
(ROW([1]PMDN!$T$2:$T$436)-ROW([1]PMDN!$T$2)+1)/
([1]PMDN!$H$2:$H$436=$E114),
COUNTIF($E$3:$E114,$E114)
)),
"")</f>
        <v>0</v>
      </c>
      <c r="G114" s="73" t="str">
        <f t="shared" si="1"/>
        <v>UMK</v>
      </c>
    </row>
    <row r="115" spans="1:7" x14ac:dyDescent="0.35">
      <c r="A115" s="58" t="s">
        <v>227</v>
      </c>
      <c r="B115" s="5" cm="1">
        <f t="array" ref="B115">IFERROR(
INDEX([1]PMDN!$T$2:$T$436,
_xlfn.AGGREGATE(15,6,
(ROW([1]PMDN!$T$2:$T$436)-ROW([1]PMDN!$T$2)+1)/
([1]PMDN!$H$2:$H$436=$A115),
COUNTIF($A$3:$A115,$A115)
)),
"")</f>
        <v>0</v>
      </c>
      <c r="E115" s="58" t="s">
        <v>227</v>
      </c>
      <c r="F115" s="5" cm="1">
        <f t="array" ref="F115">IFERROR(
INDEX([1]PMDN!$T$2:$T$436,
_xlfn.AGGREGATE(15,6,
(ROW([1]PMDN!$T$2:$T$436)-ROW([1]PMDN!$T$2)+1)/
([1]PMDN!$H$2:$H$436=$E115),
COUNTIF($E$3:$E115,$E115)
)),
"")</f>
        <v>0</v>
      </c>
      <c r="G115" s="73" t="str">
        <f t="shared" si="1"/>
        <v>UMK</v>
      </c>
    </row>
    <row r="116" spans="1:7" x14ac:dyDescent="0.35">
      <c r="A116" s="58" t="s">
        <v>227</v>
      </c>
      <c r="B116" s="5" cm="1">
        <f t="array" ref="B116">IFERROR(
INDEX([1]PMDN!$T$2:$T$436,
_xlfn.AGGREGATE(15,6,
(ROW([1]PMDN!$T$2:$T$436)-ROW([1]PMDN!$T$2)+1)/
([1]PMDN!$H$2:$H$436=$A116),
COUNTIF($A$3:$A116,$A116)
)),
"")</f>
        <v>0</v>
      </c>
      <c r="E116" s="58" t="s">
        <v>227</v>
      </c>
      <c r="F116" s="5" cm="1">
        <f t="array" ref="F116">IFERROR(
INDEX([1]PMDN!$T$2:$T$436,
_xlfn.AGGREGATE(15,6,
(ROW([1]PMDN!$T$2:$T$436)-ROW([1]PMDN!$T$2)+1)/
([1]PMDN!$H$2:$H$436=$E116),
COUNTIF($E$3:$E116,$E116)
)),
"")</f>
        <v>0</v>
      </c>
      <c r="G116" s="73" t="str">
        <f t="shared" si="1"/>
        <v>UMK</v>
      </c>
    </row>
    <row r="117" spans="1:7" x14ac:dyDescent="0.35">
      <c r="A117" s="58" t="s">
        <v>84</v>
      </c>
      <c r="B117" s="5" cm="1">
        <f t="array" ref="B117">IFERROR(
INDEX([1]PMDN!$T$2:$T$436,
_xlfn.AGGREGATE(15,6,
(ROW([1]PMDN!$T$2:$T$436)-ROW([1]PMDN!$T$2)+1)/
([1]PMDN!$H$2:$H$436=$A117),
COUNTIF($A$3:$A117,$A117)
)),
"")</f>
        <v>4850950626</v>
      </c>
      <c r="E117" s="58" t="s">
        <v>84</v>
      </c>
      <c r="F117" s="5" cm="1">
        <f t="array" ref="F117">IFERROR(
INDEX([1]PMDN!$T$2:$T$436,
_xlfn.AGGREGATE(15,6,
(ROW([1]PMDN!$T$2:$T$436)-ROW([1]PMDN!$T$2)+1)/
([1]PMDN!$H$2:$H$436=$E117),
COUNTIF($E$3:$E117,$E117)
)),
"")</f>
        <v>4850950626</v>
      </c>
      <c r="G117" s="73" t="str">
        <f t="shared" si="1"/>
        <v>UMK</v>
      </c>
    </row>
    <row r="118" spans="1:7" x14ac:dyDescent="0.35">
      <c r="A118" s="58" t="s">
        <v>84</v>
      </c>
      <c r="B118" s="5" cm="1">
        <f t="array" ref="B118">IFERROR(
INDEX([1]PMDN!$T$2:$T$436,
_xlfn.AGGREGATE(15,6,
(ROW([1]PMDN!$T$2:$T$436)-ROW([1]PMDN!$T$2)+1)/
([1]PMDN!$H$2:$H$436=$A118),
COUNTIF($A$3:$A118,$A118)
)),
"")</f>
        <v>15724681750</v>
      </c>
      <c r="E118" s="58" t="s">
        <v>84</v>
      </c>
      <c r="F118" s="5" cm="1">
        <f t="array" ref="F118">IFERROR(
INDEX([1]PMDN!$T$2:$T$436,
_xlfn.AGGREGATE(15,6,
(ROW([1]PMDN!$T$2:$T$436)-ROW([1]PMDN!$T$2)+1)/
([1]PMDN!$H$2:$H$436=$E118),
COUNTIF($E$3:$E118,$E118)
)),
"")</f>
        <v>15724681750</v>
      </c>
      <c r="G118" s="73" t="str">
        <f t="shared" si="1"/>
        <v>Non-UMK</v>
      </c>
    </row>
    <row r="119" spans="1:7" x14ac:dyDescent="0.35">
      <c r="A119" s="58" t="s">
        <v>85</v>
      </c>
      <c r="B119" s="5" cm="1">
        <f t="array" ref="B119">IFERROR(
INDEX([1]PMDN!$T$2:$T$436,
_xlfn.AGGREGATE(15,6,
(ROW([1]PMDN!$T$2:$T$436)-ROW([1]PMDN!$T$2)+1)/
([1]PMDN!$H$2:$H$436=$A119),
COUNTIF($A$3:$A119,$A119)
)),
"")</f>
        <v>2100000000</v>
      </c>
      <c r="E119" s="58" t="s">
        <v>85</v>
      </c>
      <c r="F119" s="5" cm="1">
        <f t="array" ref="F119">IFERROR(
INDEX([1]PMDN!$T$2:$T$436,
_xlfn.AGGREGATE(15,6,
(ROW([1]PMDN!$T$2:$T$436)-ROW([1]PMDN!$T$2)+1)/
([1]PMDN!$H$2:$H$436=$E119),
COUNTIF($E$3:$E119,$E119)
)),
"")</f>
        <v>2100000000</v>
      </c>
      <c r="G119" s="73" t="str">
        <f t="shared" si="1"/>
        <v>UMK</v>
      </c>
    </row>
    <row r="120" spans="1:7" x14ac:dyDescent="0.35">
      <c r="A120" s="58" t="s">
        <v>85</v>
      </c>
      <c r="B120" s="5" cm="1">
        <f t="array" ref="B120">IFERROR(
INDEX([1]PMDN!$T$2:$T$436,
_xlfn.AGGREGATE(15,6,
(ROW([1]PMDN!$T$2:$T$436)-ROW([1]PMDN!$T$2)+1)/
([1]PMDN!$H$2:$H$436=$A120),
COUNTIF($A$3:$A120,$A120)
)),
"")</f>
        <v>1000000000</v>
      </c>
      <c r="E120" s="58" t="s">
        <v>85</v>
      </c>
      <c r="F120" s="5" cm="1">
        <f t="array" ref="F120">IFERROR(
INDEX([1]PMDN!$T$2:$T$436,
_xlfn.AGGREGATE(15,6,
(ROW([1]PMDN!$T$2:$T$436)-ROW([1]PMDN!$T$2)+1)/
([1]PMDN!$H$2:$H$436=$E120),
COUNTIF($E$3:$E120,$E120)
)),
"")</f>
        <v>1000000000</v>
      </c>
      <c r="G120" s="73" t="str">
        <f t="shared" si="1"/>
        <v>UMK</v>
      </c>
    </row>
    <row r="121" spans="1:7" x14ac:dyDescent="0.35">
      <c r="A121" s="58" t="s">
        <v>85</v>
      </c>
      <c r="B121" s="5" cm="1">
        <f t="array" ref="B121">IFERROR(
INDEX([1]PMDN!$T$2:$T$436,
_xlfn.AGGREGATE(15,6,
(ROW([1]PMDN!$T$2:$T$436)-ROW([1]PMDN!$T$2)+1)/
([1]PMDN!$H$2:$H$436=$A121),
COUNTIF($A$3:$A121,$A121)
)),
"")</f>
        <v>675000000</v>
      </c>
      <c r="E121" s="58" t="s">
        <v>85</v>
      </c>
      <c r="F121" s="5" cm="1">
        <f t="array" ref="F121">IFERROR(
INDEX([1]PMDN!$T$2:$T$436,
_xlfn.AGGREGATE(15,6,
(ROW([1]PMDN!$T$2:$T$436)-ROW([1]PMDN!$T$2)+1)/
([1]PMDN!$H$2:$H$436=$E121),
COUNTIF($E$3:$E121,$E121)
)),
"")</f>
        <v>675000000</v>
      </c>
      <c r="G121" s="73" t="str">
        <f t="shared" si="1"/>
        <v>UMK</v>
      </c>
    </row>
    <row r="122" spans="1:7" x14ac:dyDescent="0.35">
      <c r="A122" s="58" t="s">
        <v>85</v>
      </c>
      <c r="B122" s="5" cm="1">
        <f t="array" ref="B122">IFERROR(
INDEX([1]PMDN!$T$2:$T$436,
_xlfn.AGGREGATE(15,6,
(ROW([1]PMDN!$T$2:$T$436)-ROW([1]PMDN!$T$2)+1)/
([1]PMDN!$H$2:$H$436=$A122),
COUNTIF($A$3:$A122,$A122)
)),
"")</f>
        <v>287500000</v>
      </c>
      <c r="E122" s="58" t="s">
        <v>85</v>
      </c>
      <c r="F122" s="5" cm="1">
        <f t="array" ref="F122">IFERROR(
INDEX([1]PMDN!$T$2:$T$436,
_xlfn.AGGREGATE(15,6,
(ROW([1]PMDN!$T$2:$T$436)-ROW([1]PMDN!$T$2)+1)/
([1]PMDN!$H$2:$H$436=$E122),
COUNTIF($E$3:$E122,$E122)
)),
"")</f>
        <v>287500000</v>
      </c>
      <c r="G122" s="73" t="str">
        <f t="shared" si="1"/>
        <v>UMK</v>
      </c>
    </row>
    <row r="123" spans="1:7" x14ac:dyDescent="0.35">
      <c r="A123" s="58" t="s">
        <v>85</v>
      </c>
      <c r="B123" s="5" cm="1">
        <f t="array" ref="B123">IFERROR(
INDEX([1]PMDN!$T$2:$T$436,
_xlfn.AGGREGATE(15,6,
(ROW([1]PMDN!$T$2:$T$436)-ROW([1]PMDN!$T$2)+1)/
([1]PMDN!$H$2:$H$436=$A123),
COUNTIF($A$3:$A123,$A123)
)),
"")</f>
        <v>401200000</v>
      </c>
      <c r="E123" s="58" t="s">
        <v>85</v>
      </c>
      <c r="F123" s="5" cm="1">
        <f t="array" ref="F123">IFERROR(
INDEX([1]PMDN!$T$2:$T$436,
_xlfn.AGGREGATE(15,6,
(ROW([1]PMDN!$T$2:$T$436)-ROW([1]PMDN!$T$2)+1)/
([1]PMDN!$H$2:$H$436=$E123),
COUNTIF($E$3:$E123,$E123)
)),
"")</f>
        <v>401200000</v>
      </c>
      <c r="G123" s="73" t="str">
        <f t="shared" si="1"/>
        <v>UMK</v>
      </c>
    </row>
    <row r="124" spans="1:7" x14ac:dyDescent="0.35">
      <c r="A124" s="58" t="s">
        <v>17</v>
      </c>
      <c r="B124" s="5" cm="1">
        <f t="array" ref="B124">IFERROR(
INDEX([1]PMDN!$T$2:$T$436,
_xlfn.AGGREGATE(15,6,
(ROW([1]PMDN!$T$2:$T$436)-ROW([1]PMDN!$T$2)+1)/
([1]PMDN!$H$2:$H$436=$A124),
COUNTIF($A$3:$A124,$A124)
)),
"")</f>
        <v>337869880109</v>
      </c>
      <c r="E124" s="58" t="s">
        <v>17</v>
      </c>
      <c r="F124" s="5" cm="1">
        <f t="array" ref="F124">IFERROR(
INDEX([1]PMDN!$T$2:$T$436,
_xlfn.AGGREGATE(15,6,
(ROW([1]PMDN!$T$2:$T$436)-ROW([1]PMDN!$T$2)+1)/
([1]PMDN!$H$2:$H$436=$E124),
COUNTIF($E$3:$E124,$E124)
)),
"")</f>
        <v>337869880109</v>
      </c>
      <c r="G124" s="73" t="str">
        <f t="shared" si="1"/>
        <v>Non-UMK</v>
      </c>
    </row>
    <row r="125" spans="1:7" x14ac:dyDescent="0.35">
      <c r="A125" s="58" t="s">
        <v>17</v>
      </c>
      <c r="B125" s="5" cm="1">
        <f t="array" ref="B125">IFERROR(
INDEX([1]PMDN!$T$2:$T$436,
_xlfn.AGGREGATE(15,6,
(ROW([1]PMDN!$T$2:$T$436)-ROW([1]PMDN!$T$2)+1)/
([1]PMDN!$H$2:$H$436=$A125),
COUNTIF($A$3:$A125,$A125)
)),
"")</f>
        <v>112571500741</v>
      </c>
      <c r="E125" s="58" t="s">
        <v>17</v>
      </c>
      <c r="F125" s="5" cm="1">
        <f t="array" ref="F125">IFERROR(
INDEX([1]PMDN!$T$2:$T$436,
_xlfn.AGGREGATE(15,6,
(ROW([1]PMDN!$T$2:$T$436)-ROW([1]PMDN!$T$2)+1)/
([1]PMDN!$H$2:$H$436=$E125),
COUNTIF($E$3:$E125,$E125)
)),
"")</f>
        <v>112571500741</v>
      </c>
      <c r="G125" s="73" t="str">
        <f t="shared" si="1"/>
        <v>Non-UMK</v>
      </c>
    </row>
    <row r="126" spans="1:7" x14ac:dyDescent="0.35">
      <c r="A126" s="58" t="s">
        <v>17</v>
      </c>
      <c r="B126" s="5" cm="1">
        <f t="array" ref="B126">IFERROR(
INDEX([1]PMDN!$T$2:$T$436,
_xlfn.AGGREGATE(15,6,
(ROW([1]PMDN!$T$2:$T$436)-ROW([1]PMDN!$T$2)+1)/
([1]PMDN!$H$2:$H$436=$A126),
COUNTIF($A$3:$A126,$A126)
)),
"")</f>
        <v>0</v>
      </c>
      <c r="E126" s="58" t="s">
        <v>17</v>
      </c>
      <c r="F126" s="5" cm="1">
        <f t="array" ref="F126">IFERROR(
INDEX([1]PMDN!$T$2:$T$436,
_xlfn.AGGREGATE(15,6,
(ROW([1]PMDN!$T$2:$T$436)-ROW([1]PMDN!$T$2)+1)/
([1]PMDN!$H$2:$H$436=$E126),
COUNTIF($E$3:$E126,$E126)
)),
"")</f>
        <v>0</v>
      </c>
      <c r="G126" s="73" t="str">
        <f t="shared" si="1"/>
        <v>UMK</v>
      </c>
    </row>
    <row r="127" spans="1:7" x14ac:dyDescent="0.35">
      <c r="A127" s="58" t="s">
        <v>17</v>
      </c>
      <c r="B127" s="5" cm="1">
        <f t="array" ref="B127">IFERROR(
INDEX([1]PMDN!$T$2:$T$436,
_xlfn.AGGREGATE(15,6,
(ROW([1]PMDN!$T$2:$T$436)-ROW([1]PMDN!$T$2)+1)/
([1]PMDN!$H$2:$H$436=$A127),
COUNTIF($A$3:$A127,$A127)
)),
"")</f>
        <v>0</v>
      </c>
      <c r="E127" s="58" t="s">
        <v>17</v>
      </c>
      <c r="F127" s="5" cm="1">
        <f t="array" ref="F127">IFERROR(
INDEX([1]PMDN!$T$2:$T$436,
_xlfn.AGGREGATE(15,6,
(ROW([1]PMDN!$T$2:$T$436)-ROW([1]PMDN!$T$2)+1)/
([1]PMDN!$H$2:$H$436=$E127),
COUNTIF($E$3:$E127,$E127)
)),
"")</f>
        <v>0</v>
      </c>
      <c r="G127" s="73" t="str">
        <f t="shared" si="1"/>
        <v>UMK</v>
      </c>
    </row>
    <row r="128" spans="1:7" x14ac:dyDescent="0.35">
      <c r="A128" s="58" t="s">
        <v>86</v>
      </c>
      <c r="B128" s="5" cm="1">
        <f t="array" ref="B128">IFERROR(
INDEX([1]PMDN!$T$2:$T$436,
_xlfn.AGGREGATE(15,6,
(ROW([1]PMDN!$T$2:$T$436)-ROW([1]PMDN!$T$2)+1)/
([1]PMDN!$H$2:$H$436=$A128),
COUNTIF($A$3:$A128,$A128)
)),
"")</f>
        <v>25663041783</v>
      </c>
      <c r="E128" s="58" t="s">
        <v>86</v>
      </c>
      <c r="F128" s="5" cm="1">
        <f t="array" ref="F128">IFERROR(
INDEX([1]PMDN!$T$2:$T$436,
_xlfn.AGGREGATE(15,6,
(ROW([1]PMDN!$T$2:$T$436)-ROW([1]PMDN!$T$2)+1)/
([1]PMDN!$H$2:$H$436=$E128),
COUNTIF($E$3:$E128,$E128)
)),
"")</f>
        <v>25663041783</v>
      </c>
      <c r="G128" s="73" t="str">
        <f t="shared" si="1"/>
        <v>Non-UMK</v>
      </c>
    </row>
    <row r="129" spans="1:7" x14ac:dyDescent="0.35">
      <c r="A129" s="58" t="s">
        <v>86</v>
      </c>
      <c r="B129" s="5" cm="1">
        <f t="array" ref="B129">IFERROR(
INDEX([1]PMDN!$T$2:$T$436,
_xlfn.AGGREGATE(15,6,
(ROW([1]PMDN!$T$2:$T$436)-ROW([1]PMDN!$T$2)+1)/
([1]PMDN!$H$2:$H$436=$A129),
COUNTIF($A$3:$A129,$A129)
)),
"")</f>
        <v>4431474115</v>
      </c>
      <c r="E129" s="58" t="s">
        <v>86</v>
      </c>
      <c r="F129" s="5" cm="1">
        <f t="array" ref="F129">IFERROR(
INDEX([1]PMDN!$T$2:$T$436,
_xlfn.AGGREGATE(15,6,
(ROW([1]PMDN!$T$2:$T$436)-ROW([1]PMDN!$T$2)+1)/
([1]PMDN!$H$2:$H$436=$E129),
COUNTIF($E$3:$E129,$E129)
)),
"")</f>
        <v>4431474115</v>
      </c>
      <c r="G129" s="73" t="str">
        <f t="shared" si="1"/>
        <v>UMK</v>
      </c>
    </row>
    <row r="130" spans="1:7" x14ac:dyDescent="0.35">
      <c r="A130" s="58" t="s">
        <v>86</v>
      </c>
      <c r="B130" s="5" cm="1">
        <f t="array" ref="B130">IFERROR(
INDEX([1]PMDN!$T$2:$T$436,
_xlfn.AGGREGATE(15,6,
(ROW([1]PMDN!$T$2:$T$436)-ROW([1]PMDN!$T$2)+1)/
([1]PMDN!$H$2:$H$436=$A130),
COUNTIF($A$3:$A130,$A130)
)),
"")</f>
        <v>4431474115</v>
      </c>
      <c r="E130" s="58" t="s">
        <v>86</v>
      </c>
      <c r="F130" s="5" cm="1">
        <f t="array" ref="F130">IFERROR(
INDEX([1]PMDN!$T$2:$T$436,
_xlfn.AGGREGATE(15,6,
(ROW([1]PMDN!$T$2:$T$436)-ROW([1]PMDN!$T$2)+1)/
([1]PMDN!$H$2:$H$436=$E130),
COUNTIF($E$3:$E130,$E130)
)),
"")</f>
        <v>4431474115</v>
      </c>
      <c r="G130" s="73" t="str">
        <f t="shared" si="1"/>
        <v>UMK</v>
      </c>
    </row>
    <row r="131" spans="1:7" x14ac:dyDescent="0.35">
      <c r="A131" s="58" t="s">
        <v>86</v>
      </c>
      <c r="B131" s="5" cm="1">
        <f t="array" ref="B131">IFERROR(
INDEX([1]PMDN!$T$2:$T$436,
_xlfn.AGGREGATE(15,6,
(ROW([1]PMDN!$T$2:$T$436)-ROW([1]PMDN!$T$2)+1)/
([1]PMDN!$H$2:$H$436=$A131),
COUNTIF($A$3:$A131,$A131)
)),
"")</f>
        <v>4431474115</v>
      </c>
      <c r="E131" s="58" t="s">
        <v>86</v>
      </c>
      <c r="F131" s="5" cm="1">
        <f t="array" ref="F131">IFERROR(
INDEX([1]PMDN!$T$2:$T$436,
_xlfn.AGGREGATE(15,6,
(ROW([1]PMDN!$T$2:$T$436)-ROW([1]PMDN!$T$2)+1)/
([1]PMDN!$H$2:$H$436=$E131),
COUNTIF($E$3:$E131,$E131)
)),
"")</f>
        <v>4431474115</v>
      </c>
      <c r="G131" s="73" t="str">
        <f t="shared" si="1"/>
        <v>UMK</v>
      </c>
    </row>
    <row r="132" spans="1:7" x14ac:dyDescent="0.35">
      <c r="A132" s="58" t="s">
        <v>88</v>
      </c>
      <c r="B132" s="5" cm="1">
        <f t="array" ref="B132">IFERROR(
INDEX([1]PMDN!$T$2:$T$436,
_xlfn.AGGREGATE(15,6,
(ROW([1]PMDN!$T$2:$T$436)-ROW([1]PMDN!$T$2)+1)/
([1]PMDN!$H$2:$H$436=$A132),
COUNTIF($A$3:$A132,$A132)
)),
"")</f>
        <v>0</v>
      </c>
      <c r="E132" s="58" t="s">
        <v>88</v>
      </c>
      <c r="F132" s="5" cm="1">
        <f t="array" ref="F132">IFERROR(
INDEX([1]PMDN!$T$2:$T$436,
_xlfn.AGGREGATE(15,6,
(ROW([1]PMDN!$T$2:$T$436)-ROW([1]PMDN!$T$2)+1)/
([1]PMDN!$H$2:$H$436=$E132),
COUNTIF($E$3:$E132,$E132)
)),
"")</f>
        <v>0</v>
      </c>
      <c r="G132" s="73" t="str">
        <f t="shared" ref="G132:G195" si="2">IF(F132&lt;=5000000000,"UMK","Non-UMK")</f>
        <v>UMK</v>
      </c>
    </row>
    <row r="133" spans="1:7" x14ac:dyDescent="0.35">
      <c r="A133" s="58" t="s">
        <v>89</v>
      </c>
      <c r="B133" s="5" cm="1">
        <f t="array" ref="B133">IFERROR(
INDEX([1]PMDN!$T$2:$T$436,
_xlfn.AGGREGATE(15,6,
(ROW([1]PMDN!$T$2:$T$436)-ROW([1]PMDN!$T$2)+1)/
([1]PMDN!$H$2:$H$436=$A133),
COUNTIF($A$3:$A133,$A133)
)),
"")</f>
        <v>2391655862</v>
      </c>
      <c r="E133" s="58" t="s">
        <v>89</v>
      </c>
      <c r="F133" s="5" cm="1">
        <f t="array" ref="F133">IFERROR(
INDEX([1]PMDN!$T$2:$T$436,
_xlfn.AGGREGATE(15,6,
(ROW([1]PMDN!$T$2:$T$436)-ROW([1]PMDN!$T$2)+1)/
([1]PMDN!$H$2:$H$436=$E133),
COUNTIF($E$3:$E133,$E133)
)),
"")</f>
        <v>2391655862</v>
      </c>
      <c r="G133" s="73" t="str">
        <f t="shared" si="2"/>
        <v>UMK</v>
      </c>
    </row>
    <row r="134" spans="1:7" x14ac:dyDescent="0.35">
      <c r="A134" s="58" t="s">
        <v>89</v>
      </c>
      <c r="B134" s="5" cm="1">
        <f t="array" ref="B134">IFERROR(
INDEX([1]PMDN!$T$2:$T$436,
_xlfn.AGGREGATE(15,6,
(ROW([1]PMDN!$T$2:$T$436)-ROW([1]PMDN!$T$2)+1)/
([1]PMDN!$H$2:$H$436=$A134),
COUNTIF($A$3:$A134,$A134)
)),
"")</f>
        <v>23724906973</v>
      </c>
      <c r="E134" s="58" t="s">
        <v>89</v>
      </c>
      <c r="F134" s="5" cm="1">
        <f t="array" ref="F134">IFERROR(
INDEX([1]PMDN!$T$2:$T$436,
_xlfn.AGGREGATE(15,6,
(ROW([1]PMDN!$T$2:$T$436)-ROW([1]PMDN!$T$2)+1)/
([1]PMDN!$H$2:$H$436=$E134),
COUNTIF($E$3:$E134,$E134)
)),
"")</f>
        <v>23724906973</v>
      </c>
      <c r="G134" s="73" t="str">
        <f t="shared" si="2"/>
        <v>Non-UMK</v>
      </c>
    </row>
    <row r="135" spans="1:7" x14ac:dyDescent="0.35">
      <c r="A135" s="58" t="s">
        <v>91</v>
      </c>
      <c r="B135" s="5" cm="1">
        <f t="array" ref="B135">IFERROR(
INDEX([1]PMDN!$T$2:$T$436,
_xlfn.AGGREGATE(15,6,
(ROW([1]PMDN!$T$2:$T$436)-ROW([1]PMDN!$T$2)+1)/
([1]PMDN!$H$2:$H$436=$A135),
COUNTIF($A$3:$A135,$A135)
)),
"")</f>
        <v>153588750</v>
      </c>
      <c r="E135" s="58" t="s">
        <v>91</v>
      </c>
      <c r="F135" s="5" cm="1">
        <f t="array" ref="F135">IFERROR(
INDEX([1]PMDN!$T$2:$T$436,
_xlfn.AGGREGATE(15,6,
(ROW([1]PMDN!$T$2:$T$436)-ROW([1]PMDN!$T$2)+1)/
([1]PMDN!$H$2:$H$436=$E135),
COUNTIF($E$3:$E135,$E135)
)),
"")</f>
        <v>153588750</v>
      </c>
      <c r="G135" s="73" t="str">
        <f t="shared" si="2"/>
        <v>UMK</v>
      </c>
    </row>
    <row r="136" spans="1:7" x14ac:dyDescent="0.35">
      <c r="A136" s="58" t="s">
        <v>100</v>
      </c>
      <c r="B136" s="5" cm="1">
        <f t="array" ref="B136">IFERROR(
INDEX([1]PMDN!$T$2:$T$436,
_xlfn.AGGREGATE(15,6,
(ROW([1]PMDN!$T$2:$T$436)-ROW([1]PMDN!$T$2)+1)/
([1]PMDN!$H$2:$H$436=$A136),
COUNTIF($A$3:$A136,$A136)
)),
"")</f>
        <v>20460340</v>
      </c>
      <c r="E136" s="58" t="s">
        <v>100</v>
      </c>
      <c r="F136" s="5" cm="1">
        <f t="array" ref="F136">IFERROR(
INDEX([1]PMDN!$T$2:$T$436,
_xlfn.AGGREGATE(15,6,
(ROW([1]PMDN!$T$2:$T$436)-ROW([1]PMDN!$T$2)+1)/
([1]PMDN!$H$2:$H$436=$E136),
COUNTIF($E$3:$E136,$E136)
)),
"")</f>
        <v>20460340</v>
      </c>
      <c r="G136" s="73" t="str">
        <f t="shared" si="2"/>
        <v>UMK</v>
      </c>
    </row>
    <row r="137" spans="1:7" x14ac:dyDescent="0.35">
      <c r="A137" s="58" t="s">
        <v>100</v>
      </c>
      <c r="B137" s="5" cm="1">
        <f t="array" ref="B137">IFERROR(
INDEX([1]PMDN!$T$2:$T$436,
_xlfn.AGGREGATE(15,6,
(ROW([1]PMDN!$T$2:$T$436)-ROW([1]PMDN!$T$2)+1)/
([1]PMDN!$H$2:$H$436=$A137),
COUNTIF($A$3:$A137,$A137)
)),
"")</f>
        <v>11406500</v>
      </c>
      <c r="E137" s="58" t="s">
        <v>100</v>
      </c>
      <c r="F137" s="5" cm="1">
        <f t="array" ref="F137">IFERROR(
INDEX([1]PMDN!$T$2:$T$436,
_xlfn.AGGREGATE(15,6,
(ROW([1]PMDN!$T$2:$T$436)-ROW([1]PMDN!$T$2)+1)/
([1]PMDN!$H$2:$H$436=$E137),
COUNTIF($E$3:$E137,$E137)
)),
"")</f>
        <v>11406500</v>
      </c>
      <c r="G137" s="73" t="str">
        <f t="shared" si="2"/>
        <v>UMK</v>
      </c>
    </row>
    <row r="138" spans="1:7" x14ac:dyDescent="0.35">
      <c r="A138" s="58" t="s">
        <v>100</v>
      </c>
      <c r="B138" s="5" cm="1">
        <f t="array" ref="B138">IFERROR(
INDEX([1]PMDN!$T$2:$T$436,
_xlfn.AGGREGATE(15,6,
(ROW([1]PMDN!$T$2:$T$436)-ROW([1]PMDN!$T$2)+1)/
([1]PMDN!$H$2:$H$436=$A138),
COUNTIF($A$3:$A138,$A138)
)),
"")</f>
        <v>32768000</v>
      </c>
      <c r="E138" s="58" t="s">
        <v>100</v>
      </c>
      <c r="F138" s="5" cm="1">
        <f t="array" ref="F138">IFERROR(
INDEX([1]PMDN!$T$2:$T$436,
_xlfn.AGGREGATE(15,6,
(ROW([1]PMDN!$T$2:$T$436)-ROW([1]PMDN!$T$2)+1)/
([1]PMDN!$H$2:$H$436=$E138),
COUNTIF($E$3:$E138,$E138)
)),
"")</f>
        <v>32768000</v>
      </c>
      <c r="G138" s="73" t="str">
        <f t="shared" si="2"/>
        <v>UMK</v>
      </c>
    </row>
    <row r="139" spans="1:7" x14ac:dyDescent="0.35">
      <c r="A139" s="58" t="s">
        <v>103</v>
      </c>
      <c r="B139" s="5" cm="1">
        <f t="array" ref="B139">IFERROR(
INDEX([1]PMDN!$T$2:$T$436,
_xlfn.AGGREGATE(15,6,
(ROW([1]PMDN!$T$2:$T$436)-ROW([1]PMDN!$T$2)+1)/
([1]PMDN!$H$2:$H$436=$A139),
COUNTIF($A$3:$A139,$A139)
)),
"")</f>
        <v>9536750601</v>
      </c>
      <c r="E139" s="58" t="s">
        <v>103</v>
      </c>
      <c r="F139" s="5" cm="1">
        <f t="array" ref="F139">IFERROR(
INDEX([1]PMDN!$T$2:$T$436,
_xlfn.AGGREGATE(15,6,
(ROW([1]PMDN!$T$2:$T$436)-ROW([1]PMDN!$T$2)+1)/
([1]PMDN!$H$2:$H$436=$E139),
COUNTIF($E$3:$E139,$E139)
)),
"")</f>
        <v>9536750601</v>
      </c>
      <c r="G139" s="73" t="str">
        <f t="shared" si="2"/>
        <v>Non-UMK</v>
      </c>
    </row>
    <row r="140" spans="1:7" x14ac:dyDescent="0.35">
      <c r="A140" s="58" t="s">
        <v>103</v>
      </c>
      <c r="B140" s="5" cm="1">
        <f t="array" ref="B140">IFERROR(
INDEX([1]PMDN!$T$2:$T$436,
_xlfn.AGGREGATE(15,6,
(ROW([1]PMDN!$T$2:$T$436)-ROW([1]PMDN!$T$2)+1)/
([1]PMDN!$H$2:$H$436=$A140),
COUNTIF($A$3:$A140,$A140)
)),
"")</f>
        <v>320398861</v>
      </c>
      <c r="E140" s="58" t="s">
        <v>103</v>
      </c>
      <c r="F140" s="5" cm="1">
        <f t="array" ref="F140">IFERROR(
INDEX([1]PMDN!$T$2:$T$436,
_xlfn.AGGREGATE(15,6,
(ROW([1]PMDN!$T$2:$T$436)-ROW([1]PMDN!$T$2)+1)/
([1]PMDN!$H$2:$H$436=$E140),
COUNTIF($E$3:$E140,$E140)
)),
"")</f>
        <v>320398861</v>
      </c>
      <c r="G140" s="73" t="str">
        <f t="shared" si="2"/>
        <v>UMK</v>
      </c>
    </row>
    <row r="141" spans="1:7" x14ac:dyDescent="0.35">
      <c r="A141" s="58" t="s">
        <v>103</v>
      </c>
      <c r="B141" s="5" cm="1">
        <f t="array" ref="B141">IFERROR(
INDEX([1]PMDN!$T$2:$T$436,
_xlfn.AGGREGATE(15,6,
(ROW([1]PMDN!$T$2:$T$436)-ROW([1]PMDN!$T$2)+1)/
([1]PMDN!$H$2:$H$436=$A141),
COUNTIF($A$3:$A141,$A141)
)),
"")</f>
        <v>9530789286</v>
      </c>
      <c r="E141" s="58" t="s">
        <v>103</v>
      </c>
      <c r="F141" s="5" cm="1">
        <f t="array" ref="F141">IFERROR(
INDEX([1]PMDN!$T$2:$T$436,
_xlfn.AGGREGATE(15,6,
(ROW([1]PMDN!$T$2:$T$436)-ROW([1]PMDN!$T$2)+1)/
([1]PMDN!$H$2:$H$436=$E141),
COUNTIF($E$3:$E141,$E141)
)),
"")</f>
        <v>9530789286</v>
      </c>
      <c r="G141" s="73" t="str">
        <f t="shared" si="2"/>
        <v>Non-UMK</v>
      </c>
    </row>
    <row r="142" spans="1:7" x14ac:dyDescent="0.35">
      <c r="A142" s="58" t="s">
        <v>103</v>
      </c>
      <c r="B142" s="5" cm="1">
        <f t="array" ref="B142">IFERROR(
INDEX([1]PMDN!$T$2:$T$436,
_xlfn.AGGREGATE(15,6,
(ROW([1]PMDN!$T$2:$T$436)-ROW([1]PMDN!$T$2)+1)/
([1]PMDN!$H$2:$H$436=$A142),
COUNTIF($A$3:$A142,$A142)
)),
"")</f>
        <v>137497929629</v>
      </c>
      <c r="E142" s="58" t="s">
        <v>103</v>
      </c>
      <c r="F142" s="5" cm="1">
        <f t="array" ref="F142">IFERROR(
INDEX([1]PMDN!$T$2:$T$436,
_xlfn.AGGREGATE(15,6,
(ROW([1]PMDN!$T$2:$T$436)-ROW([1]PMDN!$T$2)+1)/
([1]PMDN!$H$2:$H$436=$E142),
COUNTIF($E$3:$E142,$E142)
)),
"")</f>
        <v>137497929629</v>
      </c>
      <c r="G142" s="73" t="str">
        <f t="shared" si="2"/>
        <v>Non-UMK</v>
      </c>
    </row>
    <row r="143" spans="1:7" x14ac:dyDescent="0.35">
      <c r="A143" s="58" t="s">
        <v>106</v>
      </c>
      <c r="B143" s="5" cm="1">
        <f t="array" ref="B143">IFERROR(
INDEX([1]PMDN!$T$2:$T$436,
_xlfn.AGGREGATE(15,6,
(ROW([1]PMDN!$T$2:$T$436)-ROW([1]PMDN!$T$2)+1)/
([1]PMDN!$H$2:$H$436=$A143),
COUNTIF($A$3:$A143,$A143)
)),
"")</f>
        <v>9531245723</v>
      </c>
      <c r="E143" s="58" t="s">
        <v>106</v>
      </c>
      <c r="F143" s="5" cm="1">
        <f t="array" ref="F143">IFERROR(
INDEX([1]PMDN!$T$2:$T$436,
_xlfn.AGGREGATE(15,6,
(ROW([1]PMDN!$T$2:$T$436)-ROW([1]PMDN!$T$2)+1)/
([1]PMDN!$H$2:$H$436=$E143),
COUNTIF($E$3:$E143,$E143)
)),
"")</f>
        <v>9531245723</v>
      </c>
      <c r="G143" s="73" t="str">
        <f t="shared" si="2"/>
        <v>Non-UMK</v>
      </c>
    </row>
    <row r="144" spans="1:7" x14ac:dyDescent="0.35">
      <c r="A144" s="58" t="s">
        <v>228</v>
      </c>
      <c r="B144" s="5" cm="1">
        <f t="array" ref="B144">IFERROR(
INDEX([1]PMDN!$T$2:$T$436,
_xlfn.AGGREGATE(15,6,
(ROW([1]PMDN!$T$2:$T$436)-ROW([1]PMDN!$T$2)+1)/
([1]PMDN!$H$2:$H$436=$A144),
COUNTIF($A$3:$A144,$A144)
)),
"")</f>
        <v>2250000</v>
      </c>
      <c r="E144" s="58" t="s">
        <v>228</v>
      </c>
      <c r="F144" s="5" cm="1">
        <f t="array" ref="F144">IFERROR(
INDEX([1]PMDN!$T$2:$T$436,
_xlfn.AGGREGATE(15,6,
(ROW([1]PMDN!$T$2:$T$436)-ROW([1]PMDN!$T$2)+1)/
([1]PMDN!$H$2:$H$436=$E144),
COUNTIF($E$3:$E144,$E144)
)),
"")</f>
        <v>2250000</v>
      </c>
      <c r="G144" s="73" t="str">
        <f t="shared" si="2"/>
        <v>UMK</v>
      </c>
    </row>
    <row r="145" spans="1:7" x14ac:dyDescent="0.35">
      <c r="A145" s="58" t="s">
        <v>228</v>
      </c>
      <c r="B145" s="5" cm="1">
        <f t="array" ref="B145">IFERROR(
INDEX([1]PMDN!$T$2:$T$436,
_xlfn.AGGREGATE(15,6,
(ROW([1]PMDN!$T$2:$T$436)-ROW([1]PMDN!$T$2)+1)/
([1]PMDN!$H$2:$H$436=$A145),
COUNTIF($A$3:$A145,$A145)
)),
"")</f>
        <v>500000</v>
      </c>
      <c r="E145" s="58" t="s">
        <v>228</v>
      </c>
      <c r="F145" s="5" cm="1">
        <f t="array" ref="F145">IFERROR(
INDEX([1]PMDN!$T$2:$T$436,
_xlfn.AGGREGATE(15,6,
(ROW([1]PMDN!$T$2:$T$436)-ROW([1]PMDN!$T$2)+1)/
([1]PMDN!$H$2:$H$436=$E145),
COUNTIF($E$3:$E145,$E145)
)),
"")</f>
        <v>500000</v>
      </c>
      <c r="G145" s="73" t="str">
        <f t="shared" si="2"/>
        <v>UMK</v>
      </c>
    </row>
    <row r="146" spans="1:7" x14ac:dyDescent="0.35">
      <c r="A146" s="58" t="s">
        <v>228</v>
      </c>
      <c r="B146" s="5" cm="1">
        <f t="array" ref="B146">IFERROR(
INDEX([1]PMDN!$T$2:$T$436,
_xlfn.AGGREGATE(15,6,
(ROW([1]PMDN!$T$2:$T$436)-ROW([1]PMDN!$T$2)+1)/
([1]PMDN!$H$2:$H$436=$A146),
COUNTIF($A$3:$A146,$A146)
)),
"")</f>
        <v>122000000</v>
      </c>
      <c r="E146" s="58" t="s">
        <v>228</v>
      </c>
      <c r="F146" s="5" cm="1">
        <f t="array" ref="F146">IFERROR(
INDEX([1]PMDN!$T$2:$T$436,
_xlfn.AGGREGATE(15,6,
(ROW([1]PMDN!$T$2:$T$436)-ROW([1]PMDN!$T$2)+1)/
([1]PMDN!$H$2:$H$436=$E146),
COUNTIF($E$3:$E146,$E146)
)),
"")</f>
        <v>122000000</v>
      </c>
      <c r="G146" s="73" t="str">
        <f t="shared" si="2"/>
        <v>UMK</v>
      </c>
    </row>
    <row r="147" spans="1:7" x14ac:dyDescent="0.35">
      <c r="A147" s="58" t="s">
        <v>117</v>
      </c>
      <c r="B147" s="5" cm="1">
        <f t="array" ref="B147">IFERROR(
INDEX([1]PMDN!$T$2:$T$436,
_xlfn.AGGREGATE(15,6,
(ROW([1]PMDN!$T$2:$T$436)-ROW([1]PMDN!$T$2)+1)/
([1]PMDN!$H$2:$H$436=$A147),
COUNTIF($A$3:$A147,$A147)
)),
"")</f>
        <v>1320242950</v>
      </c>
      <c r="E147" s="58" t="s">
        <v>117</v>
      </c>
      <c r="F147" s="5" cm="1">
        <f t="array" ref="F147">IFERROR(
INDEX([1]PMDN!$T$2:$T$436,
_xlfn.AGGREGATE(15,6,
(ROW([1]PMDN!$T$2:$T$436)-ROW([1]PMDN!$T$2)+1)/
([1]PMDN!$H$2:$H$436=$E147),
COUNTIF($E$3:$E147,$E147)
)),
"")</f>
        <v>1320242950</v>
      </c>
      <c r="G147" s="73" t="str">
        <f t="shared" si="2"/>
        <v>UMK</v>
      </c>
    </row>
    <row r="148" spans="1:7" x14ac:dyDescent="0.35">
      <c r="A148" s="58" t="s">
        <v>117</v>
      </c>
      <c r="B148" s="5" cm="1">
        <f t="array" ref="B148">IFERROR(
INDEX([1]PMDN!$T$2:$T$436,
_xlfn.AGGREGATE(15,6,
(ROW([1]PMDN!$T$2:$T$436)-ROW([1]PMDN!$T$2)+1)/
([1]PMDN!$H$2:$H$436=$A148),
COUNTIF($A$3:$A148,$A148)
)),
"")</f>
        <v>1101691943</v>
      </c>
      <c r="E148" s="58" t="s">
        <v>117</v>
      </c>
      <c r="F148" s="5" cm="1">
        <f t="array" ref="F148">IFERROR(
INDEX([1]PMDN!$T$2:$T$436,
_xlfn.AGGREGATE(15,6,
(ROW([1]PMDN!$T$2:$T$436)-ROW([1]PMDN!$T$2)+1)/
([1]PMDN!$H$2:$H$436=$E148),
COUNTIF($E$3:$E148,$E148)
)),
"")</f>
        <v>1101691943</v>
      </c>
      <c r="G148" s="73" t="str">
        <f t="shared" si="2"/>
        <v>UMK</v>
      </c>
    </row>
    <row r="149" spans="1:7" x14ac:dyDescent="0.35">
      <c r="A149" s="58" t="s">
        <v>117</v>
      </c>
      <c r="B149" s="5" cm="1">
        <f t="array" ref="B149">IFERROR(
INDEX([1]PMDN!$T$2:$T$436,
_xlfn.AGGREGATE(15,6,
(ROW([1]PMDN!$T$2:$T$436)-ROW([1]PMDN!$T$2)+1)/
([1]PMDN!$H$2:$H$436=$A149),
COUNTIF($A$3:$A149,$A149)
)),
"")</f>
        <v>1055914425</v>
      </c>
      <c r="E149" s="58" t="s">
        <v>117</v>
      </c>
      <c r="F149" s="5" cm="1">
        <f t="array" ref="F149">IFERROR(
INDEX([1]PMDN!$T$2:$T$436,
_xlfn.AGGREGATE(15,6,
(ROW([1]PMDN!$T$2:$T$436)-ROW([1]PMDN!$T$2)+1)/
([1]PMDN!$H$2:$H$436=$E149),
COUNTIF($E$3:$E149,$E149)
)),
"")</f>
        <v>1055914425</v>
      </c>
      <c r="G149" s="73" t="str">
        <f t="shared" si="2"/>
        <v>UMK</v>
      </c>
    </row>
    <row r="150" spans="1:7" x14ac:dyDescent="0.35">
      <c r="A150" s="58" t="s">
        <v>117</v>
      </c>
      <c r="B150" s="5" cm="1">
        <f t="array" ref="B150">IFERROR(
INDEX([1]PMDN!$T$2:$T$436,
_xlfn.AGGREGATE(15,6,
(ROW([1]PMDN!$T$2:$T$436)-ROW([1]PMDN!$T$2)+1)/
([1]PMDN!$H$2:$H$436=$A150),
COUNTIF($A$3:$A150,$A150)
)),
"")</f>
        <v>1064991002</v>
      </c>
      <c r="E150" s="58" t="s">
        <v>117</v>
      </c>
      <c r="F150" s="5" cm="1">
        <f t="array" ref="F150">IFERROR(
INDEX([1]PMDN!$T$2:$T$436,
_xlfn.AGGREGATE(15,6,
(ROW([1]PMDN!$T$2:$T$436)-ROW([1]PMDN!$T$2)+1)/
([1]PMDN!$H$2:$H$436=$E150),
COUNTIF($E$3:$E150,$E150)
)),
"")</f>
        <v>1064991002</v>
      </c>
      <c r="G150" s="73" t="str">
        <f t="shared" si="2"/>
        <v>UMK</v>
      </c>
    </row>
    <row r="151" spans="1:7" x14ac:dyDescent="0.35">
      <c r="A151" s="58" t="s">
        <v>117</v>
      </c>
      <c r="B151" s="5" cm="1">
        <f t="array" ref="B151">IFERROR(
INDEX([1]PMDN!$T$2:$T$436,
_xlfn.AGGREGATE(15,6,
(ROW([1]PMDN!$T$2:$T$436)-ROW([1]PMDN!$T$2)+1)/
([1]PMDN!$H$2:$H$436=$A151),
COUNTIF($A$3:$A151,$A151)
)),
"")</f>
        <v>2952674</v>
      </c>
      <c r="E151" s="58" t="s">
        <v>117</v>
      </c>
      <c r="F151" s="5" cm="1">
        <f t="array" ref="F151">IFERROR(
INDEX([1]PMDN!$T$2:$T$436,
_xlfn.AGGREGATE(15,6,
(ROW([1]PMDN!$T$2:$T$436)-ROW([1]PMDN!$T$2)+1)/
([1]PMDN!$H$2:$H$436=$E151),
COUNTIF($E$3:$E151,$E151)
)),
"")</f>
        <v>2952674</v>
      </c>
      <c r="G151" s="73" t="str">
        <f t="shared" si="2"/>
        <v>UMK</v>
      </c>
    </row>
    <row r="152" spans="1:7" x14ac:dyDescent="0.35">
      <c r="A152" s="58" t="s">
        <v>119</v>
      </c>
      <c r="B152" s="5" cm="1">
        <f t="array" ref="B152">IFERROR(
INDEX([1]PMDN!$T$2:$T$436,
_xlfn.AGGREGATE(15,6,
(ROW([1]PMDN!$T$2:$T$436)-ROW([1]PMDN!$T$2)+1)/
([1]PMDN!$H$2:$H$436=$A152),
COUNTIF($A$3:$A152,$A152)
)),
"")</f>
        <v>682270300</v>
      </c>
      <c r="E152" s="58" t="s">
        <v>119</v>
      </c>
      <c r="F152" s="5" cm="1">
        <f t="array" ref="F152">IFERROR(
INDEX([1]PMDN!$T$2:$T$436,
_xlfn.AGGREGATE(15,6,
(ROW([1]PMDN!$T$2:$T$436)-ROW([1]PMDN!$T$2)+1)/
([1]PMDN!$H$2:$H$436=$E152),
COUNTIF($E$3:$E152,$E152)
)),
"")</f>
        <v>682270300</v>
      </c>
      <c r="G152" s="73" t="str">
        <f t="shared" si="2"/>
        <v>UMK</v>
      </c>
    </row>
    <row r="153" spans="1:7" x14ac:dyDescent="0.35">
      <c r="A153" s="58" t="s">
        <v>124</v>
      </c>
      <c r="B153" s="5" cm="1">
        <f t="array" ref="B153">IFERROR(
INDEX([1]PMDN!$T$2:$T$436,
_xlfn.AGGREGATE(15,6,
(ROW([1]PMDN!$T$2:$T$436)-ROW([1]PMDN!$T$2)+1)/
([1]PMDN!$H$2:$H$436=$A153),
COUNTIF($A$3:$A153,$A153)
)),
"")</f>
        <v>127960055437</v>
      </c>
      <c r="E153" s="58" t="s">
        <v>124</v>
      </c>
      <c r="F153" s="5" cm="1">
        <f t="array" ref="F153">IFERROR(
INDEX([1]PMDN!$T$2:$T$436,
_xlfn.AGGREGATE(15,6,
(ROW([1]PMDN!$T$2:$T$436)-ROW([1]PMDN!$T$2)+1)/
([1]PMDN!$H$2:$H$436=$E153),
COUNTIF($E$3:$E153,$E153)
)),
"")</f>
        <v>127960055437</v>
      </c>
      <c r="G153" s="73" t="str">
        <f t="shared" si="2"/>
        <v>Non-UMK</v>
      </c>
    </row>
    <row r="154" spans="1:7" x14ac:dyDescent="0.35">
      <c r="A154" s="58" t="s">
        <v>126</v>
      </c>
      <c r="B154" s="5" cm="1">
        <f t="array" ref="B154">IFERROR(
INDEX([1]PMDN!$T$2:$T$436,
_xlfn.AGGREGATE(15,6,
(ROW([1]PMDN!$T$2:$T$436)-ROW([1]PMDN!$T$2)+1)/
([1]PMDN!$H$2:$H$436=$A154),
COUNTIF($A$3:$A154,$A154)
)),
"")</f>
        <v>0</v>
      </c>
      <c r="E154" s="58" t="s">
        <v>126</v>
      </c>
      <c r="F154" s="5" cm="1">
        <f t="array" ref="F154">IFERROR(
INDEX([1]PMDN!$T$2:$T$436,
_xlfn.AGGREGATE(15,6,
(ROW([1]PMDN!$T$2:$T$436)-ROW([1]PMDN!$T$2)+1)/
([1]PMDN!$H$2:$H$436=$E154),
COUNTIF($E$3:$E154,$E154)
)),
"")</f>
        <v>0</v>
      </c>
      <c r="G154" s="73" t="str">
        <f t="shared" si="2"/>
        <v>UMK</v>
      </c>
    </row>
    <row r="155" spans="1:7" x14ac:dyDescent="0.35">
      <c r="A155" s="58" t="s">
        <v>126</v>
      </c>
      <c r="B155" s="5" cm="1">
        <f t="array" ref="B155">IFERROR(
INDEX([1]PMDN!$T$2:$T$436,
_xlfn.AGGREGATE(15,6,
(ROW([1]PMDN!$T$2:$T$436)-ROW([1]PMDN!$T$2)+1)/
([1]PMDN!$H$2:$H$436=$A155),
COUNTIF($A$3:$A155,$A155)
)),
"")</f>
        <v>0</v>
      </c>
      <c r="E155" s="58" t="s">
        <v>126</v>
      </c>
      <c r="F155" s="5" cm="1">
        <f t="array" ref="F155">IFERROR(
INDEX([1]PMDN!$T$2:$T$436,
_xlfn.AGGREGATE(15,6,
(ROW([1]PMDN!$T$2:$T$436)-ROW([1]PMDN!$T$2)+1)/
([1]PMDN!$H$2:$H$436=$E155),
COUNTIF($E$3:$E155,$E155)
)),
"")</f>
        <v>0</v>
      </c>
      <c r="G155" s="73" t="str">
        <f t="shared" si="2"/>
        <v>UMK</v>
      </c>
    </row>
    <row r="156" spans="1:7" x14ac:dyDescent="0.35">
      <c r="A156" s="58" t="s">
        <v>126</v>
      </c>
      <c r="B156" s="5" cm="1">
        <f t="array" ref="B156">IFERROR(
INDEX([1]PMDN!$T$2:$T$436,
_xlfn.AGGREGATE(15,6,
(ROW([1]PMDN!$T$2:$T$436)-ROW([1]PMDN!$T$2)+1)/
([1]PMDN!$H$2:$H$436=$A156),
COUNTIF($A$3:$A156,$A156)
)),
"")</f>
        <v>0</v>
      </c>
      <c r="E156" s="58" t="s">
        <v>126</v>
      </c>
      <c r="F156" s="5" cm="1">
        <f t="array" ref="F156">IFERROR(
INDEX([1]PMDN!$T$2:$T$436,
_xlfn.AGGREGATE(15,6,
(ROW([1]PMDN!$T$2:$T$436)-ROW([1]PMDN!$T$2)+1)/
([1]PMDN!$H$2:$H$436=$E156),
COUNTIF($E$3:$E156,$E156)
)),
"")</f>
        <v>0</v>
      </c>
      <c r="G156" s="73" t="str">
        <f t="shared" si="2"/>
        <v>UMK</v>
      </c>
    </row>
    <row r="157" spans="1:7" x14ac:dyDescent="0.35">
      <c r="A157" s="58" t="s">
        <v>126</v>
      </c>
      <c r="B157" s="5" cm="1">
        <f t="array" ref="B157">IFERROR(
INDEX([1]PMDN!$T$2:$T$436,
_xlfn.AGGREGATE(15,6,
(ROW([1]PMDN!$T$2:$T$436)-ROW([1]PMDN!$T$2)+1)/
([1]PMDN!$H$2:$H$436=$A157),
COUNTIF($A$3:$A157,$A157)
)),
"")</f>
        <v>0</v>
      </c>
      <c r="E157" s="58" t="s">
        <v>126</v>
      </c>
      <c r="F157" s="5" cm="1">
        <f t="array" ref="F157">IFERROR(
INDEX([1]PMDN!$T$2:$T$436,
_xlfn.AGGREGATE(15,6,
(ROW([1]PMDN!$T$2:$T$436)-ROW([1]PMDN!$T$2)+1)/
([1]PMDN!$H$2:$H$436=$E157),
COUNTIF($E$3:$E157,$E157)
)),
"")</f>
        <v>0</v>
      </c>
      <c r="G157" s="73" t="str">
        <f t="shared" si="2"/>
        <v>UMK</v>
      </c>
    </row>
    <row r="158" spans="1:7" x14ac:dyDescent="0.35">
      <c r="A158" s="58" t="s">
        <v>126</v>
      </c>
      <c r="B158" s="5" cm="1">
        <f t="array" ref="B158">IFERROR(
INDEX([1]PMDN!$T$2:$T$436,
_xlfn.AGGREGATE(15,6,
(ROW([1]PMDN!$T$2:$T$436)-ROW([1]PMDN!$T$2)+1)/
([1]PMDN!$H$2:$H$436=$A158),
COUNTIF($A$3:$A158,$A158)
)),
"")</f>
        <v>0</v>
      </c>
      <c r="E158" s="58" t="s">
        <v>126</v>
      </c>
      <c r="F158" s="5" cm="1">
        <f t="array" ref="F158">IFERROR(
INDEX([1]PMDN!$T$2:$T$436,
_xlfn.AGGREGATE(15,6,
(ROW([1]PMDN!$T$2:$T$436)-ROW([1]PMDN!$T$2)+1)/
([1]PMDN!$H$2:$H$436=$E158),
COUNTIF($E$3:$E158,$E158)
)),
"")</f>
        <v>0</v>
      </c>
      <c r="G158" s="73" t="str">
        <f t="shared" si="2"/>
        <v>UMK</v>
      </c>
    </row>
    <row r="159" spans="1:7" x14ac:dyDescent="0.35">
      <c r="A159" s="58" t="s">
        <v>126</v>
      </c>
      <c r="B159" s="5" cm="1">
        <f t="array" ref="B159">IFERROR(
INDEX([1]PMDN!$T$2:$T$436,
_xlfn.AGGREGATE(15,6,
(ROW([1]PMDN!$T$2:$T$436)-ROW([1]PMDN!$T$2)+1)/
([1]PMDN!$H$2:$H$436=$A159),
COUNTIF($A$3:$A159,$A159)
)),
"")</f>
        <v>1473497956</v>
      </c>
      <c r="E159" s="58" t="s">
        <v>126</v>
      </c>
      <c r="F159" s="5" cm="1">
        <f t="array" ref="F159">IFERROR(
INDEX([1]PMDN!$T$2:$T$436,
_xlfn.AGGREGATE(15,6,
(ROW([1]PMDN!$T$2:$T$436)-ROW([1]PMDN!$T$2)+1)/
([1]PMDN!$H$2:$H$436=$E159),
COUNTIF($E$3:$E159,$E159)
)),
"")</f>
        <v>1473497956</v>
      </c>
      <c r="G159" s="73" t="str">
        <f t="shared" si="2"/>
        <v>UMK</v>
      </c>
    </row>
    <row r="160" spans="1:7" x14ac:dyDescent="0.35">
      <c r="A160" s="58" t="s">
        <v>39</v>
      </c>
      <c r="B160" s="5" cm="1">
        <f t="array" ref="B160">IFERROR(
INDEX([1]PMDN!$T$2:$T$436,
_xlfn.AGGREGATE(15,6,
(ROW([1]PMDN!$T$2:$T$436)-ROW([1]PMDN!$T$2)+1)/
([1]PMDN!$H$2:$H$436=$A160),
COUNTIF($A$3:$A160,$A160)
)),
"")</f>
        <v>9766406919</v>
      </c>
      <c r="E160" s="58" t="s">
        <v>39</v>
      </c>
      <c r="F160" s="5" cm="1">
        <f t="array" ref="F160">IFERROR(
INDEX([1]PMDN!$T$2:$T$436,
_xlfn.AGGREGATE(15,6,
(ROW([1]PMDN!$T$2:$T$436)-ROW([1]PMDN!$T$2)+1)/
([1]PMDN!$H$2:$H$436=$E160),
COUNTIF($E$3:$E160,$E160)
)),
"")</f>
        <v>9766406919</v>
      </c>
      <c r="G160" s="73" t="str">
        <f t="shared" si="2"/>
        <v>Non-UMK</v>
      </c>
    </row>
    <row r="161" spans="1:7" x14ac:dyDescent="0.35">
      <c r="A161" s="58" t="s">
        <v>55</v>
      </c>
      <c r="B161" s="5" cm="1">
        <f t="array" ref="B161">IFERROR(
INDEX([1]PMDN!$T$2:$T$436,
_xlfn.AGGREGATE(15,6,
(ROW([1]PMDN!$T$2:$T$436)-ROW([1]PMDN!$T$2)+1)/
([1]PMDN!$H$2:$H$436=$A161),
COUNTIF($A$3:$A161,$A161)
)),
"")</f>
        <v>0</v>
      </c>
      <c r="E161" s="58" t="s">
        <v>55</v>
      </c>
      <c r="F161" s="5" cm="1">
        <f t="array" ref="F161">IFERROR(
INDEX([1]PMDN!$T$2:$T$436,
_xlfn.AGGREGATE(15,6,
(ROW([1]PMDN!$T$2:$T$436)-ROW([1]PMDN!$T$2)+1)/
([1]PMDN!$H$2:$H$436=$E161),
COUNTIF($E$3:$E161,$E161)
)),
"")</f>
        <v>0</v>
      </c>
      <c r="G161" s="73" t="str">
        <f t="shared" si="2"/>
        <v>UMK</v>
      </c>
    </row>
    <row r="162" spans="1:7" x14ac:dyDescent="0.35">
      <c r="A162" s="58" t="s">
        <v>55</v>
      </c>
      <c r="B162" s="5" cm="1">
        <f t="array" ref="B162">IFERROR(
INDEX([1]PMDN!$T$2:$T$436,
_xlfn.AGGREGATE(15,6,
(ROW([1]PMDN!$T$2:$T$436)-ROW([1]PMDN!$T$2)+1)/
([1]PMDN!$H$2:$H$436=$A162),
COUNTIF($A$3:$A162,$A162)
)),
"")</f>
        <v>0</v>
      </c>
      <c r="E162" s="58" t="s">
        <v>55</v>
      </c>
      <c r="F162" s="5" cm="1">
        <f t="array" ref="F162">IFERROR(
INDEX([1]PMDN!$T$2:$T$436,
_xlfn.AGGREGATE(15,6,
(ROW([1]PMDN!$T$2:$T$436)-ROW([1]PMDN!$T$2)+1)/
([1]PMDN!$H$2:$H$436=$E162),
COUNTIF($E$3:$E162,$E162)
)),
"")</f>
        <v>0</v>
      </c>
      <c r="G162" s="73" t="str">
        <f t="shared" si="2"/>
        <v>UMK</v>
      </c>
    </row>
    <row r="163" spans="1:7" x14ac:dyDescent="0.35">
      <c r="A163" s="58" t="s">
        <v>94</v>
      </c>
      <c r="B163" s="5" cm="1">
        <f t="array" ref="B163">IFERROR(
INDEX([1]PMDN!$T$2:$T$436,
_xlfn.AGGREGATE(15,6,
(ROW([1]PMDN!$T$2:$T$436)-ROW([1]PMDN!$T$2)+1)/
([1]PMDN!$H$2:$H$436=$A163),
COUNTIF($A$3:$A163,$A163)
)),
"")</f>
        <v>653342000</v>
      </c>
      <c r="E163" s="58" t="s">
        <v>94</v>
      </c>
      <c r="F163" s="5" cm="1">
        <f t="array" ref="F163">IFERROR(
INDEX([1]PMDN!$T$2:$T$436,
_xlfn.AGGREGATE(15,6,
(ROW([1]PMDN!$T$2:$T$436)-ROW([1]PMDN!$T$2)+1)/
([1]PMDN!$H$2:$H$436=$E163),
COUNTIF($E$3:$E163,$E163)
)),
"")</f>
        <v>653342000</v>
      </c>
      <c r="G163" s="73" t="str">
        <f t="shared" si="2"/>
        <v>UMK</v>
      </c>
    </row>
    <row r="164" spans="1:7" x14ac:dyDescent="0.35">
      <c r="A164" s="58" t="s">
        <v>83</v>
      </c>
      <c r="B164" s="5" cm="1">
        <f t="array" ref="B164">IFERROR(
INDEX([1]PMDN!$T$2:$T$436,
_xlfn.AGGREGATE(15,6,
(ROW([1]PMDN!$T$2:$T$436)-ROW([1]PMDN!$T$2)+1)/
([1]PMDN!$H$2:$H$436=$A164),
COUNTIF($A$3:$A164,$A164)
)),
"")</f>
        <v>25000000</v>
      </c>
      <c r="E164" s="58" t="s">
        <v>83</v>
      </c>
      <c r="F164" s="5" cm="1">
        <f t="array" ref="F164">IFERROR(
INDEX([1]PMDN!$T$2:$T$436,
_xlfn.AGGREGATE(15,6,
(ROW([1]PMDN!$T$2:$T$436)-ROW([1]PMDN!$T$2)+1)/
([1]PMDN!$H$2:$H$436=$E164),
COUNTIF($E$3:$E164,$E164)
)),
"")</f>
        <v>25000000</v>
      </c>
      <c r="G164" s="73" t="str">
        <f t="shared" si="2"/>
        <v>UMK</v>
      </c>
    </row>
    <row r="165" spans="1:7" x14ac:dyDescent="0.35">
      <c r="A165" s="58" t="s">
        <v>83</v>
      </c>
      <c r="B165" s="5" cm="1">
        <f t="array" ref="B165">IFERROR(
INDEX([1]PMDN!$T$2:$T$436,
_xlfn.AGGREGATE(15,6,
(ROW([1]PMDN!$T$2:$T$436)-ROW([1]PMDN!$T$2)+1)/
([1]PMDN!$H$2:$H$436=$A165),
COUNTIF($A$3:$A165,$A165)
)),
"")</f>
        <v>25000000</v>
      </c>
      <c r="E165" s="58" t="s">
        <v>83</v>
      </c>
      <c r="F165" s="5" cm="1">
        <f t="array" ref="F165">IFERROR(
INDEX([1]PMDN!$T$2:$T$436,
_xlfn.AGGREGATE(15,6,
(ROW([1]PMDN!$T$2:$T$436)-ROW([1]PMDN!$T$2)+1)/
([1]PMDN!$H$2:$H$436=$E165),
COUNTIF($E$3:$E165,$E165)
)),
"")</f>
        <v>25000000</v>
      </c>
      <c r="G165" s="73" t="str">
        <f t="shared" si="2"/>
        <v>UMK</v>
      </c>
    </row>
    <row r="166" spans="1:7" x14ac:dyDescent="0.35">
      <c r="A166" s="58" t="s">
        <v>83</v>
      </c>
      <c r="B166" s="5" cm="1">
        <f t="array" ref="B166">IFERROR(
INDEX([1]PMDN!$T$2:$T$436,
_xlfn.AGGREGATE(15,6,
(ROW([1]PMDN!$T$2:$T$436)-ROW([1]PMDN!$T$2)+1)/
([1]PMDN!$H$2:$H$436=$A166),
COUNTIF($A$3:$A166,$A166)
)),
"")</f>
        <v>45000000</v>
      </c>
      <c r="E166" s="58" t="s">
        <v>83</v>
      </c>
      <c r="F166" s="5" cm="1">
        <f t="array" ref="F166">IFERROR(
INDEX([1]PMDN!$T$2:$T$436,
_xlfn.AGGREGATE(15,6,
(ROW([1]PMDN!$T$2:$T$436)-ROW([1]PMDN!$T$2)+1)/
([1]PMDN!$H$2:$H$436=$E166),
COUNTIF($E$3:$E166,$E166)
)),
"")</f>
        <v>45000000</v>
      </c>
      <c r="G166" s="73" t="str">
        <f t="shared" si="2"/>
        <v>UMK</v>
      </c>
    </row>
    <row r="167" spans="1:7" x14ac:dyDescent="0.35">
      <c r="A167" s="58" t="s">
        <v>83</v>
      </c>
      <c r="B167" s="5" cm="1">
        <f t="array" ref="B167">IFERROR(
INDEX([1]PMDN!$T$2:$T$436,
_xlfn.AGGREGATE(15,6,
(ROW([1]PMDN!$T$2:$T$436)-ROW([1]PMDN!$T$2)+1)/
([1]PMDN!$H$2:$H$436=$A167),
COUNTIF($A$3:$A167,$A167)
)),
"")</f>
        <v>25000000</v>
      </c>
      <c r="E167" s="58" t="s">
        <v>83</v>
      </c>
      <c r="F167" s="5" cm="1">
        <f t="array" ref="F167">IFERROR(
INDEX([1]PMDN!$T$2:$T$436,
_xlfn.AGGREGATE(15,6,
(ROW([1]PMDN!$T$2:$T$436)-ROW([1]PMDN!$T$2)+1)/
([1]PMDN!$H$2:$H$436=$E167),
COUNTIF($E$3:$E167,$E167)
)),
"")</f>
        <v>25000000</v>
      </c>
      <c r="G167" s="73" t="str">
        <f t="shared" si="2"/>
        <v>UMK</v>
      </c>
    </row>
    <row r="168" spans="1:7" x14ac:dyDescent="0.35">
      <c r="A168" s="58" t="s">
        <v>83</v>
      </c>
      <c r="B168" s="5" cm="1">
        <f t="array" ref="B168">IFERROR(
INDEX([1]PMDN!$T$2:$T$436,
_xlfn.AGGREGATE(15,6,
(ROW([1]PMDN!$T$2:$T$436)-ROW([1]PMDN!$T$2)+1)/
([1]PMDN!$H$2:$H$436=$A168),
COUNTIF($A$3:$A168,$A168)
)),
"")</f>
        <v>25000000</v>
      </c>
      <c r="E168" s="58" t="s">
        <v>83</v>
      </c>
      <c r="F168" s="5" cm="1">
        <f t="array" ref="F168">IFERROR(
INDEX([1]PMDN!$T$2:$T$436,
_xlfn.AGGREGATE(15,6,
(ROW([1]PMDN!$T$2:$T$436)-ROW([1]PMDN!$T$2)+1)/
([1]PMDN!$H$2:$H$436=$E168),
COUNTIF($E$3:$E168,$E168)
)),
"")</f>
        <v>25000000</v>
      </c>
      <c r="G168" s="73" t="str">
        <f t="shared" si="2"/>
        <v>UMK</v>
      </c>
    </row>
    <row r="169" spans="1:7" x14ac:dyDescent="0.35">
      <c r="A169" s="58" t="s">
        <v>83</v>
      </c>
      <c r="B169" s="5" cm="1">
        <f t="array" ref="B169">IFERROR(
INDEX([1]PMDN!$T$2:$T$436,
_xlfn.AGGREGATE(15,6,
(ROW([1]PMDN!$T$2:$T$436)-ROW([1]PMDN!$T$2)+1)/
([1]PMDN!$H$2:$H$436=$A169),
COUNTIF($A$3:$A169,$A169)
)),
"")</f>
        <v>25000000</v>
      </c>
      <c r="E169" s="58" t="s">
        <v>83</v>
      </c>
      <c r="F169" s="5" cm="1">
        <f t="array" ref="F169">IFERROR(
INDEX([1]PMDN!$T$2:$T$436,
_xlfn.AGGREGATE(15,6,
(ROW([1]PMDN!$T$2:$T$436)-ROW([1]PMDN!$T$2)+1)/
([1]PMDN!$H$2:$H$436=$E169),
COUNTIF($E$3:$E169,$E169)
)),
"")</f>
        <v>25000000</v>
      </c>
      <c r="G169" s="73" t="str">
        <f t="shared" si="2"/>
        <v>UMK</v>
      </c>
    </row>
    <row r="170" spans="1:7" x14ac:dyDescent="0.35">
      <c r="A170" s="58" t="s">
        <v>83</v>
      </c>
      <c r="B170" s="5" cm="1">
        <f t="array" ref="B170">IFERROR(
INDEX([1]PMDN!$T$2:$T$436,
_xlfn.AGGREGATE(15,6,
(ROW([1]PMDN!$T$2:$T$436)-ROW([1]PMDN!$T$2)+1)/
([1]PMDN!$H$2:$H$436=$A170),
COUNTIF($A$3:$A170,$A170)
)),
"")</f>
        <v>25000000</v>
      </c>
      <c r="E170" s="58" t="s">
        <v>83</v>
      </c>
      <c r="F170" s="5" cm="1">
        <f t="array" ref="F170">IFERROR(
INDEX([1]PMDN!$T$2:$T$436,
_xlfn.AGGREGATE(15,6,
(ROW([1]PMDN!$T$2:$T$436)-ROW([1]PMDN!$T$2)+1)/
([1]PMDN!$H$2:$H$436=$E170),
COUNTIF($E$3:$E170,$E170)
)),
"")</f>
        <v>25000000</v>
      </c>
      <c r="G170" s="73" t="str">
        <f t="shared" si="2"/>
        <v>UMK</v>
      </c>
    </row>
    <row r="171" spans="1:7" x14ac:dyDescent="0.35">
      <c r="A171" s="58" t="s">
        <v>83</v>
      </c>
      <c r="B171" s="5" cm="1">
        <f t="array" ref="B171">IFERROR(
INDEX([1]PMDN!$T$2:$T$436,
_xlfn.AGGREGATE(15,6,
(ROW([1]PMDN!$T$2:$T$436)-ROW([1]PMDN!$T$2)+1)/
([1]PMDN!$H$2:$H$436=$A171),
COUNTIF($A$3:$A171,$A171)
)),
"")</f>
        <v>182574976</v>
      </c>
      <c r="E171" s="58" t="s">
        <v>83</v>
      </c>
      <c r="F171" s="5" cm="1">
        <f t="array" ref="F171">IFERROR(
INDEX([1]PMDN!$T$2:$T$436,
_xlfn.AGGREGATE(15,6,
(ROW([1]PMDN!$T$2:$T$436)-ROW([1]PMDN!$T$2)+1)/
([1]PMDN!$H$2:$H$436=$E171),
COUNTIF($E$3:$E171,$E171)
)),
"")</f>
        <v>182574976</v>
      </c>
      <c r="G171" s="73" t="str">
        <f t="shared" si="2"/>
        <v>UMK</v>
      </c>
    </row>
    <row r="172" spans="1:7" x14ac:dyDescent="0.35">
      <c r="A172" s="58" t="s">
        <v>83</v>
      </c>
      <c r="B172" s="5" cm="1">
        <f t="array" ref="B172">IFERROR(
INDEX([1]PMDN!$T$2:$T$436,
_xlfn.AGGREGATE(15,6,
(ROW([1]PMDN!$T$2:$T$436)-ROW([1]PMDN!$T$2)+1)/
([1]PMDN!$H$2:$H$436=$A172),
COUNTIF($A$3:$A172,$A172)
)),
"")</f>
        <v>25000000</v>
      </c>
      <c r="E172" s="58" t="s">
        <v>83</v>
      </c>
      <c r="F172" s="5" cm="1">
        <f t="array" ref="F172">IFERROR(
INDEX([1]PMDN!$T$2:$T$436,
_xlfn.AGGREGATE(15,6,
(ROW([1]PMDN!$T$2:$T$436)-ROW([1]PMDN!$T$2)+1)/
([1]PMDN!$H$2:$H$436=$E172),
COUNTIF($E$3:$E172,$E172)
)),
"")</f>
        <v>25000000</v>
      </c>
      <c r="G172" s="73" t="str">
        <f t="shared" si="2"/>
        <v>UMK</v>
      </c>
    </row>
    <row r="173" spans="1:7" x14ac:dyDescent="0.35">
      <c r="A173" s="58" t="s">
        <v>83</v>
      </c>
      <c r="B173" s="5" cm="1">
        <f t="array" ref="B173">IFERROR(
INDEX([1]PMDN!$T$2:$T$436,
_xlfn.AGGREGATE(15,6,
(ROW([1]PMDN!$T$2:$T$436)-ROW([1]PMDN!$T$2)+1)/
([1]PMDN!$H$2:$H$436=$A173),
COUNTIF($A$3:$A173,$A173)
)),
"")</f>
        <v>25000000</v>
      </c>
      <c r="E173" s="58" t="s">
        <v>83</v>
      </c>
      <c r="F173" s="5" cm="1">
        <f t="array" ref="F173">IFERROR(
INDEX([1]PMDN!$T$2:$T$436,
_xlfn.AGGREGATE(15,6,
(ROW([1]PMDN!$T$2:$T$436)-ROW([1]PMDN!$T$2)+1)/
([1]PMDN!$H$2:$H$436=$E173),
COUNTIF($E$3:$E173,$E173)
)),
"")</f>
        <v>25000000</v>
      </c>
      <c r="G173" s="73" t="str">
        <f t="shared" si="2"/>
        <v>UMK</v>
      </c>
    </row>
    <row r="174" spans="1:7" x14ac:dyDescent="0.35">
      <c r="A174" s="58" t="s">
        <v>83</v>
      </c>
      <c r="B174" s="5" cm="1">
        <f t="array" ref="B174">IFERROR(
INDEX([1]PMDN!$T$2:$T$436,
_xlfn.AGGREGATE(15,6,
(ROW([1]PMDN!$T$2:$T$436)-ROW([1]PMDN!$T$2)+1)/
([1]PMDN!$H$2:$H$436=$A174),
COUNTIF($A$3:$A174,$A174)
)),
"")</f>
        <v>25000000</v>
      </c>
      <c r="E174" s="58" t="s">
        <v>83</v>
      </c>
      <c r="F174" s="5" cm="1">
        <f t="array" ref="F174">IFERROR(
INDEX([1]PMDN!$T$2:$T$436,
_xlfn.AGGREGATE(15,6,
(ROW([1]PMDN!$T$2:$T$436)-ROW([1]PMDN!$T$2)+1)/
([1]PMDN!$H$2:$H$436=$E174),
COUNTIF($E$3:$E174,$E174)
)),
"")</f>
        <v>25000000</v>
      </c>
      <c r="G174" s="73" t="str">
        <f t="shared" si="2"/>
        <v>UMK</v>
      </c>
    </row>
    <row r="175" spans="1:7" x14ac:dyDescent="0.35">
      <c r="A175" s="58" t="s">
        <v>83</v>
      </c>
      <c r="B175" s="5" cm="1">
        <f t="array" ref="B175">IFERROR(
INDEX([1]PMDN!$T$2:$T$436,
_xlfn.AGGREGATE(15,6,
(ROW([1]PMDN!$T$2:$T$436)-ROW([1]PMDN!$T$2)+1)/
([1]PMDN!$H$2:$H$436=$A175),
COUNTIF($A$3:$A175,$A175)
)),
"")</f>
        <v>25000000</v>
      </c>
      <c r="E175" s="58" t="s">
        <v>83</v>
      </c>
      <c r="F175" s="5" cm="1">
        <f t="array" ref="F175">IFERROR(
INDEX([1]PMDN!$T$2:$T$436,
_xlfn.AGGREGATE(15,6,
(ROW([1]PMDN!$T$2:$T$436)-ROW([1]PMDN!$T$2)+1)/
([1]PMDN!$H$2:$H$436=$E175),
COUNTIF($E$3:$E175,$E175)
)),
"")</f>
        <v>25000000</v>
      </c>
      <c r="G175" s="73" t="str">
        <f t="shared" si="2"/>
        <v>UMK</v>
      </c>
    </row>
    <row r="176" spans="1:7" x14ac:dyDescent="0.35">
      <c r="A176" s="58" t="s">
        <v>83</v>
      </c>
      <c r="B176" s="5" cm="1">
        <f t="array" ref="B176">IFERROR(
INDEX([1]PMDN!$T$2:$T$436,
_xlfn.AGGREGATE(15,6,
(ROW([1]PMDN!$T$2:$T$436)-ROW([1]PMDN!$T$2)+1)/
([1]PMDN!$H$2:$H$436=$A176),
COUNTIF($A$3:$A176,$A176)
)),
"")</f>
        <v>5000000</v>
      </c>
      <c r="E176" s="58" t="s">
        <v>83</v>
      </c>
      <c r="F176" s="5" cm="1">
        <f t="array" ref="F176">IFERROR(
INDEX([1]PMDN!$T$2:$T$436,
_xlfn.AGGREGATE(15,6,
(ROW([1]PMDN!$T$2:$T$436)-ROW([1]PMDN!$T$2)+1)/
([1]PMDN!$H$2:$H$436=$E176),
COUNTIF($E$3:$E176,$E176)
)),
"")</f>
        <v>5000000</v>
      </c>
      <c r="G176" s="73" t="str">
        <f t="shared" si="2"/>
        <v>UMK</v>
      </c>
    </row>
    <row r="177" spans="1:7" x14ac:dyDescent="0.35">
      <c r="A177" s="58" t="s">
        <v>127</v>
      </c>
      <c r="B177" s="5" cm="1">
        <f t="array" ref="B177">IFERROR(
INDEX([1]PMDN!$T$2:$T$436,
_xlfn.AGGREGATE(15,6,
(ROW([1]PMDN!$T$2:$T$436)-ROW([1]PMDN!$T$2)+1)/
([1]PMDN!$H$2:$H$436=$A177),
COUNTIF($A$3:$A177,$A177)
)),
"")</f>
        <v>3424462562</v>
      </c>
      <c r="E177" s="58" t="s">
        <v>127</v>
      </c>
      <c r="F177" s="5" cm="1">
        <f t="array" ref="F177">IFERROR(
INDEX([1]PMDN!$T$2:$T$436,
_xlfn.AGGREGATE(15,6,
(ROW([1]PMDN!$T$2:$T$436)-ROW([1]PMDN!$T$2)+1)/
([1]PMDN!$H$2:$H$436=$E177),
COUNTIF($E$3:$E177,$E177)
)),
"")</f>
        <v>3424462562</v>
      </c>
      <c r="G177" s="73" t="str">
        <f t="shared" si="2"/>
        <v>UMK</v>
      </c>
    </row>
    <row r="178" spans="1:7" x14ac:dyDescent="0.35">
      <c r="A178" s="58" t="s">
        <v>127</v>
      </c>
      <c r="B178" s="5" cm="1">
        <f t="array" ref="B178">IFERROR(
INDEX([1]PMDN!$T$2:$T$436,
_xlfn.AGGREGATE(15,6,
(ROW([1]PMDN!$T$2:$T$436)-ROW([1]PMDN!$T$2)+1)/
([1]PMDN!$H$2:$H$436=$A178),
COUNTIF($A$3:$A178,$A178)
)),
"")</f>
        <v>2418326714</v>
      </c>
      <c r="E178" s="58" t="s">
        <v>127</v>
      </c>
      <c r="F178" s="5" cm="1">
        <f t="array" ref="F178">IFERROR(
INDEX([1]PMDN!$T$2:$T$436,
_xlfn.AGGREGATE(15,6,
(ROW([1]PMDN!$T$2:$T$436)-ROW([1]PMDN!$T$2)+1)/
([1]PMDN!$H$2:$H$436=$E178),
COUNTIF($E$3:$E178,$E178)
)),
"")</f>
        <v>2418326714</v>
      </c>
      <c r="G178" s="73" t="str">
        <f t="shared" si="2"/>
        <v>UMK</v>
      </c>
    </row>
    <row r="179" spans="1:7" x14ac:dyDescent="0.35">
      <c r="A179" s="58" t="s">
        <v>26</v>
      </c>
      <c r="B179" s="5" cm="1">
        <f t="array" ref="B179">IFERROR(
INDEX([1]PMDN!$T$2:$T$436,
_xlfn.AGGREGATE(15,6,
(ROW([1]PMDN!$T$2:$T$436)-ROW([1]PMDN!$T$2)+1)/
([1]PMDN!$H$2:$H$436=$A179),
COUNTIF($A$3:$A179,$A179)
)),
"")</f>
        <v>15000000</v>
      </c>
      <c r="E179" s="58" t="s">
        <v>26</v>
      </c>
      <c r="F179" s="5" cm="1">
        <f t="array" ref="F179">IFERROR(
INDEX([1]PMDN!$T$2:$T$436,
_xlfn.AGGREGATE(15,6,
(ROW([1]PMDN!$T$2:$T$436)-ROW([1]PMDN!$T$2)+1)/
([1]PMDN!$H$2:$H$436=$E179),
COUNTIF($E$3:$E179,$E179)
)),
"")</f>
        <v>15000000</v>
      </c>
      <c r="G179" s="73" t="str">
        <f t="shared" si="2"/>
        <v>UMK</v>
      </c>
    </row>
    <row r="180" spans="1:7" x14ac:dyDescent="0.35">
      <c r="A180" s="58" t="s">
        <v>26</v>
      </c>
      <c r="B180" s="5" cm="1">
        <f t="array" ref="B180">IFERROR(
INDEX([1]PMDN!$T$2:$T$436,
_xlfn.AGGREGATE(15,6,
(ROW([1]PMDN!$T$2:$T$436)-ROW([1]PMDN!$T$2)+1)/
([1]PMDN!$H$2:$H$436=$A180),
COUNTIF($A$3:$A180,$A180)
)),
"")</f>
        <v>0</v>
      </c>
      <c r="E180" s="58" t="s">
        <v>26</v>
      </c>
      <c r="F180" s="5" cm="1">
        <f t="array" ref="F180">IFERROR(
INDEX([1]PMDN!$T$2:$T$436,
_xlfn.AGGREGATE(15,6,
(ROW([1]PMDN!$T$2:$T$436)-ROW([1]PMDN!$T$2)+1)/
([1]PMDN!$H$2:$H$436=$E180),
COUNTIF($E$3:$E180,$E180)
)),
"")</f>
        <v>0</v>
      </c>
      <c r="G180" s="73" t="str">
        <f t="shared" si="2"/>
        <v>UMK</v>
      </c>
    </row>
    <row r="181" spans="1:7" x14ac:dyDescent="0.35">
      <c r="A181" s="58" t="s">
        <v>26</v>
      </c>
      <c r="B181" s="5" cm="1">
        <f t="array" ref="B181">IFERROR(
INDEX([1]PMDN!$T$2:$T$436,
_xlfn.AGGREGATE(15,6,
(ROW([1]PMDN!$T$2:$T$436)-ROW([1]PMDN!$T$2)+1)/
([1]PMDN!$H$2:$H$436=$A181),
COUNTIF($A$3:$A181,$A181)
)),
"")</f>
        <v>126798346051</v>
      </c>
      <c r="E181" s="58" t="s">
        <v>26</v>
      </c>
      <c r="F181" s="5" cm="1">
        <f t="array" ref="F181">IFERROR(
INDEX([1]PMDN!$T$2:$T$436,
_xlfn.AGGREGATE(15,6,
(ROW([1]PMDN!$T$2:$T$436)-ROW([1]PMDN!$T$2)+1)/
([1]PMDN!$H$2:$H$436=$E181),
COUNTIF($E$3:$E181,$E181)
)),
"")</f>
        <v>126798346051</v>
      </c>
      <c r="G181" s="73" t="str">
        <f t="shared" si="2"/>
        <v>Non-UMK</v>
      </c>
    </row>
    <row r="182" spans="1:7" x14ac:dyDescent="0.35">
      <c r="A182" s="58" t="s">
        <v>26</v>
      </c>
      <c r="B182" s="5" cm="1">
        <f t="array" ref="B182">IFERROR(
INDEX([1]PMDN!$T$2:$T$436,
_xlfn.AGGREGATE(15,6,
(ROW([1]PMDN!$T$2:$T$436)-ROW([1]PMDN!$T$2)+1)/
([1]PMDN!$H$2:$H$436=$A182),
COUNTIF($A$3:$A182,$A182)
)),
"")</f>
        <v>24934486325</v>
      </c>
      <c r="E182" s="58" t="s">
        <v>26</v>
      </c>
      <c r="F182" s="5" cm="1">
        <f t="array" ref="F182">IFERROR(
INDEX([1]PMDN!$T$2:$T$436,
_xlfn.AGGREGATE(15,6,
(ROW([1]PMDN!$T$2:$T$436)-ROW([1]PMDN!$T$2)+1)/
([1]PMDN!$H$2:$H$436=$E182),
COUNTIF($E$3:$E182,$E182)
)),
"")</f>
        <v>24934486325</v>
      </c>
      <c r="G182" s="73" t="str">
        <f t="shared" si="2"/>
        <v>Non-UMK</v>
      </c>
    </row>
    <row r="183" spans="1:7" x14ac:dyDescent="0.35">
      <c r="A183" s="58" t="s">
        <v>36</v>
      </c>
      <c r="B183" s="5" cm="1">
        <f t="array" ref="B183">IFERROR(
INDEX([1]PMDN!$T$2:$T$436,
_xlfn.AGGREGATE(15,6,
(ROW([1]PMDN!$T$2:$T$436)-ROW([1]PMDN!$T$2)+1)/
([1]PMDN!$H$2:$H$436=$A183),
COUNTIF($A$3:$A183,$A183)
)),
"")</f>
        <v>327184977</v>
      </c>
      <c r="E183" s="58" t="s">
        <v>36</v>
      </c>
      <c r="F183" s="5" cm="1">
        <f t="array" ref="F183">IFERROR(
INDEX([1]PMDN!$T$2:$T$436,
_xlfn.AGGREGATE(15,6,
(ROW([1]PMDN!$T$2:$T$436)-ROW([1]PMDN!$T$2)+1)/
([1]PMDN!$H$2:$H$436=$E183),
COUNTIF($E$3:$E183,$E183)
)),
"")</f>
        <v>327184977</v>
      </c>
      <c r="G183" s="73" t="str">
        <f t="shared" si="2"/>
        <v>UMK</v>
      </c>
    </row>
    <row r="184" spans="1:7" x14ac:dyDescent="0.35">
      <c r="A184" s="58" t="s">
        <v>36</v>
      </c>
      <c r="B184" s="5" cm="1">
        <f t="array" ref="B184">IFERROR(
INDEX([1]PMDN!$T$2:$T$436,
_xlfn.AGGREGATE(15,6,
(ROW([1]PMDN!$T$2:$T$436)-ROW([1]PMDN!$T$2)+1)/
([1]PMDN!$H$2:$H$436=$A184),
COUNTIF($A$3:$A184,$A184)
)),
"")</f>
        <v>317573588</v>
      </c>
      <c r="E184" s="58" t="s">
        <v>36</v>
      </c>
      <c r="F184" s="5" cm="1">
        <f t="array" ref="F184">IFERROR(
INDEX([1]PMDN!$T$2:$T$436,
_xlfn.AGGREGATE(15,6,
(ROW([1]PMDN!$T$2:$T$436)-ROW([1]PMDN!$T$2)+1)/
([1]PMDN!$H$2:$H$436=$E184),
COUNTIF($E$3:$E184,$E184)
)),
"")</f>
        <v>317573588</v>
      </c>
      <c r="G184" s="73" t="str">
        <f t="shared" si="2"/>
        <v>UMK</v>
      </c>
    </row>
    <row r="185" spans="1:7" x14ac:dyDescent="0.35">
      <c r="A185" s="58" t="s">
        <v>36</v>
      </c>
      <c r="B185" s="5" cm="1">
        <f t="array" ref="B185">IFERROR(
INDEX([1]PMDN!$T$2:$T$436,
_xlfn.AGGREGATE(15,6,
(ROW([1]PMDN!$T$2:$T$436)-ROW([1]PMDN!$T$2)+1)/
([1]PMDN!$H$2:$H$436=$A185),
COUNTIF($A$3:$A185,$A185)
)),
"")</f>
        <v>313651483</v>
      </c>
      <c r="E185" s="58" t="s">
        <v>36</v>
      </c>
      <c r="F185" s="5" cm="1">
        <f t="array" ref="F185">IFERROR(
INDEX([1]PMDN!$T$2:$T$436,
_xlfn.AGGREGATE(15,6,
(ROW([1]PMDN!$T$2:$T$436)-ROW([1]PMDN!$T$2)+1)/
([1]PMDN!$H$2:$H$436=$E185),
COUNTIF($E$3:$E185,$E185)
)),
"")</f>
        <v>313651483</v>
      </c>
      <c r="G185" s="73" t="str">
        <f t="shared" si="2"/>
        <v>UMK</v>
      </c>
    </row>
    <row r="186" spans="1:7" x14ac:dyDescent="0.35">
      <c r="A186" s="58" t="s">
        <v>36</v>
      </c>
      <c r="B186" s="5" cm="1">
        <f t="array" ref="B186">IFERROR(
INDEX([1]PMDN!$T$2:$T$436,
_xlfn.AGGREGATE(15,6,
(ROW([1]PMDN!$T$2:$T$436)-ROW([1]PMDN!$T$2)+1)/
([1]PMDN!$H$2:$H$436=$A186),
COUNTIF($A$3:$A186,$A186)
)),
"")</f>
        <v>8088452591</v>
      </c>
      <c r="E186" s="58" t="s">
        <v>36</v>
      </c>
      <c r="F186" s="5" cm="1">
        <f t="array" ref="F186">IFERROR(
INDEX([1]PMDN!$T$2:$T$436,
_xlfn.AGGREGATE(15,6,
(ROW([1]PMDN!$T$2:$T$436)-ROW([1]PMDN!$T$2)+1)/
([1]PMDN!$H$2:$H$436=$E186),
COUNTIF($E$3:$E186,$E186)
)),
"")</f>
        <v>8088452591</v>
      </c>
      <c r="G186" s="73" t="str">
        <f t="shared" si="2"/>
        <v>Non-UMK</v>
      </c>
    </row>
    <row r="187" spans="1:7" x14ac:dyDescent="0.35">
      <c r="A187" s="58" t="s">
        <v>117</v>
      </c>
      <c r="B187" s="5" cm="1">
        <f t="array" ref="B187">IFERROR(
INDEX([1]PMDN!$T$2:$T$436,
_xlfn.AGGREGATE(15,6,
(ROW([1]PMDN!$T$2:$T$436)-ROW([1]PMDN!$T$2)+1)/
([1]PMDN!$H$2:$H$436=$A187),
COUNTIF($A$3:$A187,$A187)
)),
"")</f>
        <v>27306000</v>
      </c>
      <c r="E187" s="58" t="s">
        <v>117</v>
      </c>
      <c r="F187" s="5" cm="1">
        <f t="array" ref="F187">IFERROR(
INDEX([1]PMDN!$T$2:$T$436,
_xlfn.AGGREGATE(15,6,
(ROW([1]PMDN!$T$2:$T$436)-ROW([1]PMDN!$T$2)+1)/
([1]PMDN!$H$2:$H$436=$E187),
COUNTIF($E$3:$E187,$E187)
)),
"")</f>
        <v>27306000</v>
      </c>
      <c r="G187" s="73" t="str">
        <f t="shared" si="2"/>
        <v>UMK</v>
      </c>
    </row>
    <row r="188" spans="1:7" x14ac:dyDescent="0.35">
      <c r="A188" s="58" t="s">
        <v>117</v>
      </c>
      <c r="B188" s="5" cm="1">
        <f t="array" ref="B188">IFERROR(
INDEX([1]PMDN!$T$2:$T$436,
_xlfn.AGGREGATE(15,6,
(ROW([1]PMDN!$T$2:$T$436)-ROW([1]PMDN!$T$2)+1)/
([1]PMDN!$H$2:$H$436=$A188),
COUNTIF($A$3:$A188,$A188)
)),
"")</f>
        <v>115313058</v>
      </c>
      <c r="E188" s="58" t="s">
        <v>117</v>
      </c>
      <c r="F188" s="5" cm="1">
        <f t="array" ref="F188">IFERROR(
INDEX([1]PMDN!$T$2:$T$436,
_xlfn.AGGREGATE(15,6,
(ROW([1]PMDN!$T$2:$T$436)-ROW([1]PMDN!$T$2)+1)/
([1]PMDN!$H$2:$H$436=$E188),
COUNTIF($E$3:$E188,$E188)
)),
"")</f>
        <v>115313058</v>
      </c>
      <c r="G188" s="73" t="str">
        <f t="shared" si="2"/>
        <v>UMK</v>
      </c>
    </row>
    <row r="189" spans="1:7" x14ac:dyDescent="0.35">
      <c r="A189" s="58" t="s">
        <v>80</v>
      </c>
      <c r="B189" s="5" cm="1">
        <f t="array" ref="B189">IFERROR(
INDEX([1]PMDN!$T$2:$T$436,
_xlfn.AGGREGATE(15,6,
(ROW([1]PMDN!$T$2:$T$436)-ROW([1]PMDN!$T$2)+1)/
([1]PMDN!$H$2:$H$436=$A189),
COUNTIF($A$3:$A189,$A189)
)),
"")</f>
        <v>592960697779</v>
      </c>
      <c r="E189" s="58" t="s">
        <v>80</v>
      </c>
      <c r="F189" s="5" cm="1">
        <f t="array" ref="F189">IFERROR(
INDEX([1]PMDN!$T$2:$T$436,
_xlfn.AGGREGATE(15,6,
(ROW([1]PMDN!$T$2:$T$436)-ROW([1]PMDN!$T$2)+1)/
([1]PMDN!$H$2:$H$436=$E189),
COUNTIF($E$3:$E189,$E189)
)),
"")</f>
        <v>592960697779</v>
      </c>
      <c r="G189" s="73" t="str">
        <f t="shared" si="2"/>
        <v>Non-UMK</v>
      </c>
    </row>
    <row r="190" spans="1:7" x14ac:dyDescent="0.35">
      <c r="A190" s="58" t="s">
        <v>80</v>
      </c>
      <c r="B190" s="5" cm="1">
        <f t="array" ref="B190">IFERROR(
INDEX([1]PMDN!$T$2:$T$436,
_xlfn.AGGREGATE(15,6,
(ROW([1]PMDN!$T$2:$T$436)-ROW([1]PMDN!$T$2)+1)/
([1]PMDN!$H$2:$H$436=$A190),
COUNTIF($A$3:$A190,$A190)
)),
"")</f>
        <v>190150015702</v>
      </c>
      <c r="E190" s="58" t="s">
        <v>80</v>
      </c>
      <c r="F190" s="5" cm="1">
        <f t="array" ref="F190">IFERROR(
INDEX([1]PMDN!$T$2:$T$436,
_xlfn.AGGREGATE(15,6,
(ROW([1]PMDN!$T$2:$T$436)-ROW([1]PMDN!$T$2)+1)/
([1]PMDN!$H$2:$H$436=$E190),
COUNTIF($E$3:$E190,$E190)
)),
"")</f>
        <v>190150015702</v>
      </c>
      <c r="G190" s="73" t="str">
        <f t="shared" si="2"/>
        <v>Non-UMK</v>
      </c>
    </row>
    <row r="191" spans="1:7" x14ac:dyDescent="0.35">
      <c r="A191" s="58" t="s">
        <v>101</v>
      </c>
      <c r="B191" s="5" cm="1">
        <f t="array" ref="B191">IFERROR(
INDEX([1]PMDN!$T$2:$T$436,
_xlfn.AGGREGATE(15,6,
(ROW([1]PMDN!$T$2:$T$436)-ROW([1]PMDN!$T$2)+1)/
([1]PMDN!$H$2:$H$436=$A191),
COUNTIF($A$3:$A191,$A191)
)),
"")</f>
        <v>0</v>
      </c>
      <c r="E191" s="58" t="s">
        <v>101</v>
      </c>
      <c r="F191" s="5" cm="1">
        <f t="array" ref="F191">IFERROR(
INDEX([1]PMDN!$T$2:$T$436,
_xlfn.AGGREGATE(15,6,
(ROW([1]PMDN!$T$2:$T$436)-ROW([1]PMDN!$T$2)+1)/
([1]PMDN!$H$2:$H$436=$E191),
COUNTIF($E$3:$E191,$E191)
)),
"")</f>
        <v>0</v>
      </c>
      <c r="G191" s="73" t="str">
        <f t="shared" si="2"/>
        <v>UMK</v>
      </c>
    </row>
    <row r="192" spans="1:7" x14ac:dyDescent="0.35">
      <c r="A192" s="58" t="s">
        <v>116</v>
      </c>
      <c r="B192" s="5" cm="1">
        <f t="array" ref="B192">IFERROR(
INDEX([1]PMDN!$T$2:$T$436,
_xlfn.AGGREGATE(15,6,
(ROW([1]PMDN!$T$2:$T$436)-ROW([1]PMDN!$T$2)+1)/
([1]PMDN!$H$2:$H$436=$A192),
COUNTIF($A$3:$A192,$A192)
)),
"")</f>
        <v>0</v>
      </c>
      <c r="E192" s="58" t="s">
        <v>116</v>
      </c>
      <c r="F192" s="5" cm="1">
        <f t="array" ref="F192">IFERROR(
INDEX([1]PMDN!$T$2:$T$436,
_xlfn.AGGREGATE(15,6,
(ROW([1]PMDN!$T$2:$T$436)-ROW([1]PMDN!$T$2)+1)/
([1]PMDN!$H$2:$H$436=$E192),
COUNTIF($E$3:$E192,$E192)
)),
"")</f>
        <v>0</v>
      </c>
      <c r="G192" s="73" t="str">
        <f t="shared" si="2"/>
        <v>UMK</v>
      </c>
    </row>
    <row r="193" spans="1:7" x14ac:dyDescent="0.35">
      <c r="A193" s="58" t="s">
        <v>116</v>
      </c>
      <c r="B193" s="5" cm="1">
        <f t="array" ref="B193">IFERROR(
INDEX([1]PMDN!$T$2:$T$436,
_xlfn.AGGREGATE(15,6,
(ROW([1]PMDN!$T$2:$T$436)-ROW([1]PMDN!$T$2)+1)/
([1]PMDN!$H$2:$H$436=$A193),
COUNTIF($A$3:$A193,$A193)
)),
"")</f>
        <v>0</v>
      </c>
      <c r="E193" s="58" t="s">
        <v>116</v>
      </c>
      <c r="F193" s="5" cm="1">
        <f t="array" ref="F193">IFERROR(
INDEX([1]PMDN!$T$2:$T$436,
_xlfn.AGGREGATE(15,6,
(ROW([1]PMDN!$T$2:$T$436)-ROW([1]PMDN!$T$2)+1)/
([1]PMDN!$H$2:$H$436=$E193),
COUNTIF($E$3:$E193,$E193)
)),
"")</f>
        <v>0</v>
      </c>
      <c r="G193" s="73" t="str">
        <f t="shared" si="2"/>
        <v>UMK</v>
      </c>
    </row>
    <row r="194" spans="1:7" x14ac:dyDescent="0.35">
      <c r="A194" s="58" t="s">
        <v>116</v>
      </c>
      <c r="B194" s="5" cm="1">
        <f t="array" ref="B194">IFERROR(
INDEX([1]PMDN!$T$2:$T$436,
_xlfn.AGGREGATE(15,6,
(ROW([1]PMDN!$T$2:$T$436)-ROW([1]PMDN!$T$2)+1)/
([1]PMDN!$H$2:$H$436=$A194),
COUNTIF($A$3:$A194,$A194)
)),
"")</f>
        <v>0</v>
      </c>
      <c r="E194" s="58" t="s">
        <v>116</v>
      </c>
      <c r="F194" s="5" cm="1">
        <f t="array" ref="F194">IFERROR(
INDEX([1]PMDN!$T$2:$T$436,
_xlfn.AGGREGATE(15,6,
(ROW([1]PMDN!$T$2:$T$436)-ROW([1]PMDN!$T$2)+1)/
([1]PMDN!$H$2:$H$436=$E194),
COUNTIF($E$3:$E194,$E194)
)),
"")</f>
        <v>0</v>
      </c>
      <c r="G194" s="73" t="str">
        <f t="shared" si="2"/>
        <v>UMK</v>
      </c>
    </row>
    <row r="195" spans="1:7" x14ac:dyDescent="0.35">
      <c r="A195" s="58" t="s">
        <v>117</v>
      </c>
      <c r="B195" s="5" cm="1">
        <f t="array" ref="B195">IFERROR(
INDEX([1]PMDN!$T$2:$T$436,
_xlfn.AGGREGATE(15,6,
(ROW([1]PMDN!$T$2:$T$436)-ROW([1]PMDN!$T$2)+1)/
([1]PMDN!$H$2:$H$436=$A195),
COUNTIF($A$3:$A195,$A195)
)),
"")</f>
        <v>1400616250</v>
      </c>
      <c r="E195" s="58" t="s">
        <v>117</v>
      </c>
      <c r="F195" s="5" cm="1">
        <f t="array" ref="F195">IFERROR(
INDEX([1]PMDN!$T$2:$T$436,
_xlfn.AGGREGATE(15,6,
(ROW([1]PMDN!$T$2:$T$436)-ROW([1]PMDN!$T$2)+1)/
([1]PMDN!$H$2:$H$436=$E195),
COUNTIF($E$3:$E195,$E195)
)),
"")</f>
        <v>1400616250</v>
      </c>
      <c r="G195" s="73" t="str">
        <f t="shared" si="2"/>
        <v>UMK</v>
      </c>
    </row>
    <row r="196" spans="1:7" x14ac:dyDescent="0.35">
      <c r="A196" s="58" t="s">
        <v>117</v>
      </c>
      <c r="B196" s="5" cm="1">
        <f t="array" ref="B196">IFERROR(
INDEX([1]PMDN!$T$2:$T$436,
_xlfn.AGGREGATE(15,6,
(ROW([1]PMDN!$T$2:$T$436)-ROW([1]PMDN!$T$2)+1)/
([1]PMDN!$H$2:$H$436=$A196),
COUNTIF($A$3:$A196,$A196)
)),
"")</f>
        <v>53982214</v>
      </c>
      <c r="E196" s="58" t="s">
        <v>117</v>
      </c>
      <c r="F196" s="5" cm="1">
        <f t="array" ref="F196">IFERROR(
INDEX([1]PMDN!$T$2:$T$436,
_xlfn.AGGREGATE(15,6,
(ROW([1]PMDN!$T$2:$T$436)-ROW([1]PMDN!$T$2)+1)/
([1]PMDN!$H$2:$H$436=$E196),
COUNTIF($E$3:$E196,$E196)
)),
"")</f>
        <v>53982214</v>
      </c>
      <c r="G196" s="73" t="str">
        <f t="shared" ref="G196:G259" si="3">IF(F196&lt;=5000000000,"UMK","Non-UMK")</f>
        <v>UMK</v>
      </c>
    </row>
    <row r="197" spans="1:7" x14ac:dyDescent="0.35">
      <c r="A197" s="58" t="s">
        <v>117</v>
      </c>
      <c r="B197" s="5" cm="1">
        <f t="array" ref="B197">IFERROR(
INDEX([1]PMDN!$T$2:$T$436,
_xlfn.AGGREGATE(15,6,
(ROW([1]PMDN!$T$2:$T$436)-ROW([1]PMDN!$T$2)+1)/
([1]PMDN!$H$2:$H$436=$A197),
COUNTIF($A$3:$A197,$A197)
)),
"")</f>
        <v>23635991</v>
      </c>
      <c r="E197" s="58" t="s">
        <v>117</v>
      </c>
      <c r="F197" s="5" cm="1">
        <f t="array" ref="F197">IFERROR(
INDEX([1]PMDN!$T$2:$T$436,
_xlfn.AGGREGATE(15,6,
(ROW([1]PMDN!$T$2:$T$436)-ROW([1]PMDN!$T$2)+1)/
([1]PMDN!$H$2:$H$436=$E197),
COUNTIF($E$3:$E197,$E197)
)),
"")</f>
        <v>23635991</v>
      </c>
      <c r="G197" s="73" t="str">
        <f t="shared" si="3"/>
        <v>UMK</v>
      </c>
    </row>
    <row r="198" spans="1:7" x14ac:dyDescent="0.35">
      <c r="A198" s="58" t="s">
        <v>120</v>
      </c>
      <c r="B198" s="5" cm="1">
        <f t="array" ref="B198">IFERROR(
INDEX([1]PMDN!$T$2:$T$436,
_xlfn.AGGREGATE(15,6,
(ROW([1]PMDN!$T$2:$T$436)-ROW([1]PMDN!$T$2)+1)/
([1]PMDN!$H$2:$H$436=$A198),
COUNTIF($A$3:$A198,$A198)
)),
"")</f>
        <v>665000000</v>
      </c>
      <c r="E198" s="58" t="s">
        <v>120</v>
      </c>
      <c r="F198" s="5" cm="1">
        <f t="array" ref="F198">IFERROR(
INDEX([1]PMDN!$T$2:$T$436,
_xlfn.AGGREGATE(15,6,
(ROW([1]PMDN!$T$2:$T$436)-ROW([1]PMDN!$T$2)+1)/
([1]PMDN!$H$2:$H$436=$E198),
COUNTIF($E$3:$E198,$E198)
)),
"")</f>
        <v>665000000</v>
      </c>
      <c r="G198" s="73" t="str">
        <f t="shared" si="3"/>
        <v>UMK</v>
      </c>
    </row>
    <row r="199" spans="1:7" x14ac:dyDescent="0.35">
      <c r="A199" s="58" t="s">
        <v>229</v>
      </c>
      <c r="B199" s="5" cm="1">
        <f t="array" ref="B199">IFERROR(
INDEX([1]PMDN!$T$2:$T$436,
_xlfn.AGGREGATE(15,6,
(ROW([1]PMDN!$T$2:$T$436)-ROW([1]PMDN!$T$2)+1)/
([1]PMDN!$H$2:$H$436=$A199),
COUNTIF($A$3:$A199,$A199)
)),
"")</f>
        <v>755345741</v>
      </c>
      <c r="E199" s="58" t="s">
        <v>229</v>
      </c>
      <c r="F199" s="5" cm="1">
        <f t="array" ref="F199">IFERROR(
INDEX([1]PMDN!$T$2:$T$436,
_xlfn.AGGREGATE(15,6,
(ROW([1]PMDN!$T$2:$T$436)-ROW([1]PMDN!$T$2)+1)/
([1]PMDN!$H$2:$H$436=$E199),
COUNTIF($E$3:$E199,$E199)
)),
"")</f>
        <v>755345741</v>
      </c>
      <c r="G199" s="73" t="str">
        <f t="shared" si="3"/>
        <v>UMK</v>
      </c>
    </row>
    <row r="200" spans="1:7" x14ac:dyDescent="0.35">
      <c r="A200" s="58" t="s">
        <v>229</v>
      </c>
      <c r="B200" s="5" cm="1">
        <f t="array" ref="B200">IFERROR(
INDEX([1]PMDN!$T$2:$T$436,
_xlfn.AGGREGATE(15,6,
(ROW([1]PMDN!$T$2:$T$436)-ROW([1]PMDN!$T$2)+1)/
([1]PMDN!$H$2:$H$436=$A200),
COUNTIF($A$3:$A200,$A200)
)),
"")</f>
        <v>755345741</v>
      </c>
      <c r="E200" s="58" t="s">
        <v>229</v>
      </c>
      <c r="F200" s="5" cm="1">
        <f t="array" ref="F200">IFERROR(
INDEX([1]PMDN!$T$2:$T$436,
_xlfn.AGGREGATE(15,6,
(ROW([1]PMDN!$T$2:$T$436)-ROW([1]PMDN!$T$2)+1)/
([1]PMDN!$H$2:$H$436=$E200),
COUNTIF($E$3:$E200,$E200)
)),
"")</f>
        <v>755345741</v>
      </c>
      <c r="G200" s="73" t="str">
        <f t="shared" si="3"/>
        <v>UMK</v>
      </c>
    </row>
    <row r="201" spans="1:7" x14ac:dyDescent="0.35">
      <c r="A201" s="58" t="s">
        <v>229</v>
      </c>
      <c r="B201" s="5" cm="1">
        <f t="array" ref="B201">IFERROR(
INDEX([1]PMDN!$T$2:$T$436,
_xlfn.AGGREGATE(15,6,
(ROW([1]PMDN!$T$2:$T$436)-ROW([1]PMDN!$T$2)+1)/
([1]PMDN!$H$2:$H$436=$A201),
COUNTIF($A$3:$A201,$A201)
)),
"")</f>
        <v>755345741</v>
      </c>
      <c r="E201" s="58" t="s">
        <v>229</v>
      </c>
      <c r="F201" s="5" cm="1">
        <f t="array" ref="F201">IFERROR(
INDEX([1]PMDN!$T$2:$T$436,
_xlfn.AGGREGATE(15,6,
(ROW([1]PMDN!$T$2:$T$436)-ROW([1]PMDN!$T$2)+1)/
([1]PMDN!$H$2:$H$436=$E201),
COUNTIF($E$3:$E201,$E201)
)),
"")</f>
        <v>755345741</v>
      </c>
      <c r="G201" s="73" t="str">
        <f t="shared" si="3"/>
        <v>UMK</v>
      </c>
    </row>
    <row r="202" spans="1:7" x14ac:dyDescent="0.35">
      <c r="A202" s="58" t="s">
        <v>229</v>
      </c>
      <c r="B202" s="5" cm="1">
        <f t="array" ref="B202">IFERROR(
INDEX([1]PMDN!$T$2:$T$436,
_xlfn.AGGREGATE(15,6,
(ROW([1]PMDN!$T$2:$T$436)-ROW([1]PMDN!$T$2)+1)/
([1]PMDN!$H$2:$H$436=$A202),
COUNTIF($A$3:$A202,$A202)
)),
"")</f>
        <v>755345741</v>
      </c>
      <c r="E202" s="58" t="s">
        <v>229</v>
      </c>
      <c r="F202" s="5" cm="1">
        <f t="array" ref="F202">IFERROR(
INDEX([1]PMDN!$T$2:$T$436,
_xlfn.AGGREGATE(15,6,
(ROW([1]PMDN!$T$2:$T$436)-ROW([1]PMDN!$T$2)+1)/
([1]PMDN!$H$2:$H$436=$E202),
COUNTIF($E$3:$E202,$E202)
)),
"")</f>
        <v>755345741</v>
      </c>
      <c r="G202" s="73" t="str">
        <f t="shared" si="3"/>
        <v>UMK</v>
      </c>
    </row>
    <row r="203" spans="1:7" x14ac:dyDescent="0.35">
      <c r="A203" s="58" t="s">
        <v>230</v>
      </c>
      <c r="B203" s="5" cm="1">
        <f t="array" ref="B203">IFERROR(
INDEX([1]PMDN!$T$2:$T$436,
_xlfn.AGGREGATE(15,6,
(ROW([1]PMDN!$T$2:$T$436)-ROW([1]PMDN!$T$2)+1)/
([1]PMDN!$H$2:$H$436=$A203),
COUNTIF($A$3:$A203,$A203)
)),
"")</f>
        <v>32770544416</v>
      </c>
      <c r="E203" s="58" t="s">
        <v>230</v>
      </c>
      <c r="F203" s="5" cm="1">
        <f t="array" ref="F203">IFERROR(
INDEX([1]PMDN!$T$2:$T$436,
_xlfn.AGGREGATE(15,6,
(ROW([1]PMDN!$T$2:$T$436)-ROW([1]PMDN!$T$2)+1)/
([1]PMDN!$H$2:$H$436=$E203),
COUNTIF($E$3:$E203,$E203)
)),
"")</f>
        <v>32770544416</v>
      </c>
      <c r="G203" s="73" t="str">
        <f t="shared" si="3"/>
        <v>Non-UMK</v>
      </c>
    </row>
    <row r="204" spans="1:7" x14ac:dyDescent="0.35">
      <c r="A204" s="58" t="s">
        <v>41</v>
      </c>
      <c r="B204" s="5" cm="1">
        <f t="array" ref="B204">IFERROR(
INDEX([1]PMDN!$T$2:$T$436,
_xlfn.AGGREGATE(15,6,
(ROW([1]PMDN!$T$2:$T$436)-ROW([1]PMDN!$T$2)+1)/
([1]PMDN!$H$2:$H$436=$A204),
COUNTIF($A$3:$A204,$A204)
)),
"")</f>
        <v>2098896972</v>
      </c>
      <c r="E204" s="58" t="s">
        <v>41</v>
      </c>
      <c r="F204" s="5" cm="1">
        <f t="array" ref="F204">IFERROR(
INDEX([1]PMDN!$T$2:$T$436,
_xlfn.AGGREGATE(15,6,
(ROW([1]PMDN!$T$2:$T$436)-ROW([1]PMDN!$T$2)+1)/
([1]PMDN!$H$2:$H$436=$E204),
COUNTIF($E$3:$E204,$E204)
)),
"")</f>
        <v>2098896972</v>
      </c>
      <c r="G204" s="73" t="str">
        <f t="shared" si="3"/>
        <v>UMK</v>
      </c>
    </row>
    <row r="205" spans="1:7" x14ac:dyDescent="0.35">
      <c r="A205" s="58" t="s">
        <v>41</v>
      </c>
      <c r="B205" s="5" cm="1">
        <f t="array" ref="B205">IFERROR(
INDEX([1]PMDN!$T$2:$T$436,
_xlfn.AGGREGATE(15,6,
(ROW([1]PMDN!$T$2:$T$436)-ROW([1]PMDN!$T$2)+1)/
([1]PMDN!$H$2:$H$436=$A205),
COUNTIF($A$3:$A205,$A205)
)),
"")</f>
        <v>5581076108</v>
      </c>
      <c r="E205" s="58" t="s">
        <v>41</v>
      </c>
      <c r="F205" s="5" cm="1">
        <f t="array" ref="F205">IFERROR(
INDEX([1]PMDN!$T$2:$T$436,
_xlfn.AGGREGATE(15,6,
(ROW([1]PMDN!$T$2:$T$436)-ROW([1]PMDN!$T$2)+1)/
([1]PMDN!$H$2:$H$436=$E205),
COUNTIF($E$3:$E205,$E205)
)),
"")</f>
        <v>5581076108</v>
      </c>
      <c r="G205" s="73" t="str">
        <f t="shared" si="3"/>
        <v>Non-UMK</v>
      </c>
    </row>
    <row r="206" spans="1:7" x14ac:dyDescent="0.35">
      <c r="A206" s="58" t="s">
        <v>47</v>
      </c>
      <c r="B206" s="5" cm="1">
        <f t="array" ref="B206">IFERROR(
INDEX([1]PMDN!$T$2:$T$436,
_xlfn.AGGREGATE(15,6,
(ROW([1]PMDN!$T$2:$T$436)-ROW([1]PMDN!$T$2)+1)/
([1]PMDN!$H$2:$H$436=$A206),
COUNTIF($A$3:$A206,$A206)
)),
"")</f>
        <v>0</v>
      </c>
      <c r="E206" s="58" t="s">
        <v>47</v>
      </c>
      <c r="F206" s="5" cm="1">
        <f t="array" ref="F206">IFERROR(
INDEX([1]PMDN!$T$2:$T$436,
_xlfn.AGGREGATE(15,6,
(ROW([1]PMDN!$T$2:$T$436)-ROW([1]PMDN!$T$2)+1)/
([1]PMDN!$H$2:$H$436=$E206),
COUNTIF($E$3:$E206,$E206)
)),
"")</f>
        <v>0</v>
      </c>
      <c r="G206" s="73" t="str">
        <f t="shared" si="3"/>
        <v>UMK</v>
      </c>
    </row>
    <row r="207" spans="1:7" x14ac:dyDescent="0.35">
      <c r="A207" s="58" t="s">
        <v>47</v>
      </c>
      <c r="B207" s="5" cm="1">
        <f t="array" ref="B207">IFERROR(
INDEX([1]PMDN!$T$2:$T$436,
_xlfn.AGGREGATE(15,6,
(ROW([1]PMDN!$T$2:$T$436)-ROW([1]PMDN!$T$2)+1)/
([1]PMDN!$H$2:$H$436=$A207),
COUNTIF($A$3:$A207,$A207)
)),
"")</f>
        <v>0</v>
      </c>
      <c r="E207" s="58" t="s">
        <v>47</v>
      </c>
      <c r="F207" s="5" cm="1">
        <f t="array" ref="F207">IFERROR(
INDEX([1]PMDN!$T$2:$T$436,
_xlfn.AGGREGATE(15,6,
(ROW([1]PMDN!$T$2:$T$436)-ROW([1]PMDN!$T$2)+1)/
([1]PMDN!$H$2:$H$436=$E207),
COUNTIF($E$3:$E207,$E207)
)),
"")</f>
        <v>0</v>
      </c>
      <c r="G207" s="73" t="str">
        <f t="shared" si="3"/>
        <v>UMK</v>
      </c>
    </row>
    <row r="208" spans="1:7" x14ac:dyDescent="0.35">
      <c r="A208" s="58" t="s">
        <v>56</v>
      </c>
      <c r="B208" s="5" cm="1">
        <f t="array" ref="B208">IFERROR(
INDEX([1]PMDN!$T$2:$T$436,
_xlfn.AGGREGATE(15,6,
(ROW([1]PMDN!$T$2:$T$436)-ROW([1]PMDN!$T$2)+1)/
([1]PMDN!$H$2:$H$436=$A208),
COUNTIF($A$3:$A208,$A208)
)),
"")</f>
        <v>438370640659</v>
      </c>
      <c r="E208" s="58" t="s">
        <v>56</v>
      </c>
      <c r="F208" s="5" cm="1">
        <f t="array" ref="F208">IFERROR(
INDEX([1]PMDN!$T$2:$T$436,
_xlfn.AGGREGATE(15,6,
(ROW([1]PMDN!$T$2:$T$436)-ROW([1]PMDN!$T$2)+1)/
([1]PMDN!$H$2:$H$436=$E208),
COUNTIF($E$3:$E208,$E208)
)),
"")</f>
        <v>438370640659</v>
      </c>
      <c r="G208" s="73" t="str">
        <f t="shared" si="3"/>
        <v>Non-UMK</v>
      </c>
    </row>
    <row r="209" spans="1:7" x14ac:dyDescent="0.35">
      <c r="A209" s="58" t="s">
        <v>56</v>
      </c>
      <c r="B209" s="5" cm="1">
        <f t="array" ref="B209">IFERROR(
INDEX([1]PMDN!$T$2:$T$436,
_xlfn.AGGREGATE(15,6,
(ROW([1]PMDN!$T$2:$T$436)-ROW([1]PMDN!$T$2)+1)/
([1]PMDN!$H$2:$H$436=$A209),
COUNTIF($A$3:$A209,$A209)
)),
"")</f>
        <v>182951580571</v>
      </c>
      <c r="E209" s="58" t="s">
        <v>56</v>
      </c>
      <c r="F209" s="5" cm="1">
        <f t="array" ref="F209">IFERROR(
INDEX([1]PMDN!$T$2:$T$436,
_xlfn.AGGREGATE(15,6,
(ROW([1]PMDN!$T$2:$T$436)-ROW([1]PMDN!$T$2)+1)/
([1]PMDN!$H$2:$H$436=$E209),
COUNTIF($E$3:$E209,$E209)
)),
"")</f>
        <v>182951580571</v>
      </c>
      <c r="G209" s="73" t="str">
        <f t="shared" si="3"/>
        <v>Non-UMK</v>
      </c>
    </row>
    <row r="210" spans="1:7" x14ac:dyDescent="0.35">
      <c r="A210" s="58" t="s">
        <v>56</v>
      </c>
      <c r="B210" s="5" cm="1">
        <f t="array" ref="B210">IFERROR(
INDEX([1]PMDN!$T$2:$T$436,
_xlfn.AGGREGATE(15,6,
(ROW([1]PMDN!$T$2:$T$436)-ROW([1]PMDN!$T$2)+1)/
([1]PMDN!$H$2:$H$436=$A210),
COUNTIF($A$3:$A210,$A210)
)),
"")</f>
        <v>0</v>
      </c>
      <c r="E210" s="58" t="s">
        <v>56</v>
      </c>
      <c r="F210" s="5" cm="1">
        <f t="array" ref="F210">IFERROR(
INDEX([1]PMDN!$T$2:$T$436,
_xlfn.AGGREGATE(15,6,
(ROW([1]PMDN!$T$2:$T$436)-ROW([1]PMDN!$T$2)+1)/
([1]PMDN!$H$2:$H$436=$E210),
COUNTIF($E$3:$E210,$E210)
)),
"")</f>
        <v>0</v>
      </c>
      <c r="G210" s="73" t="str">
        <f t="shared" si="3"/>
        <v>UMK</v>
      </c>
    </row>
    <row r="211" spans="1:7" x14ac:dyDescent="0.35">
      <c r="A211" s="58" t="s">
        <v>56</v>
      </c>
      <c r="B211" s="5" cm="1">
        <f t="array" ref="B211">IFERROR(
INDEX([1]PMDN!$T$2:$T$436,
_xlfn.AGGREGATE(15,6,
(ROW([1]PMDN!$T$2:$T$436)-ROW([1]PMDN!$T$2)+1)/
([1]PMDN!$H$2:$H$436=$A211),
COUNTIF($A$3:$A211,$A211)
)),
"")</f>
        <v>0</v>
      </c>
      <c r="E211" s="58" t="s">
        <v>56</v>
      </c>
      <c r="F211" s="5" cm="1">
        <f t="array" ref="F211">IFERROR(
INDEX([1]PMDN!$T$2:$T$436,
_xlfn.AGGREGATE(15,6,
(ROW([1]PMDN!$T$2:$T$436)-ROW([1]PMDN!$T$2)+1)/
([1]PMDN!$H$2:$H$436=$E211),
COUNTIF($E$3:$E211,$E211)
)),
"")</f>
        <v>0</v>
      </c>
      <c r="G211" s="73" t="str">
        <f t="shared" si="3"/>
        <v>UMK</v>
      </c>
    </row>
    <row r="212" spans="1:7" x14ac:dyDescent="0.35">
      <c r="A212" s="58" t="s">
        <v>56</v>
      </c>
      <c r="B212" s="5" cm="1">
        <f t="array" ref="B212">IFERROR(
INDEX([1]PMDN!$T$2:$T$436,
_xlfn.AGGREGATE(15,6,
(ROW([1]PMDN!$T$2:$T$436)-ROW([1]PMDN!$T$2)+1)/
([1]PMDN!$H$2:$H$436=$A212),
COUNTIF($A$3:$A212,$A212)
)),
"")</f>
        <v>0</v>
      </c>
      <c r="E212" s="58" t="s">
        <v>56</v>
      </c>
      <c r="F212" s="5" cm="1">
        <f t="array" ref="F212">IFERROR(
INDEX([1]PMDN!$T$2:$T$436,
_xlfn.AGGREGATE(15,6,
(ROW([1]PMDN!$T$2:$T$436)-ROW([1]PMDN!$T$2)+1)/
([1]PMDN!$H$2:$H$436=$E212),
COUNTIF($E$3:$E212,$E212)
)),
"")</f>
        <v>0</v>
      </c>
      <c r="G212" s="73" t="str">
        <f t="shared" si="3"/>
        <v>UMK</v>
      </c>
    </row>
    <row r="213" spans="1:7" x14ac:dyDescent="0.35">
      <c r="A213" s="58" t="s">
        <v>57</v>
      </c>
      <c r="B213" s="5" cm="1">
        <f t="array" ref="B213">IFERROR(
INDEX([1]PMDN!$T$2:$T$436,
_xlfn.AGGREGATE(15,6,
(ROW([1]PMDN!$T$2:$T$436)-ROW([1]PMDN!$T$2)+1)/
([1]PMDN!$H$2:$H$436=$A213),
COUNTIF($A$3:$A213,$A213)
)),
"")</f>
        <v>0</v>
      </c>
      <c r="E213" s="58" t="s">
        <v>57</v>
      </c>
      <c r="F213" s="5" cm="1">
        <f t="array" ref="F213">IFERROR(
INDEX([1]PMDN!$T$2:$T$436,
_xlfn.AGGREGATE(15,6,
(ROW([1]PMDN!$T$2:$T$436)-ROW([1]PMDN!$T$2)+1)/
([1]PMDN!$H$2:$H$436=$E213),
COUNTIF($E$3:$E213,$E213)
)),
"")</f>
        <v>0</v>
      </c>
      <c r="G213" s="73" t="str">
        <f t="shared" si="3"/>
        <v>UMK</v>
      </c>
    </row>
    <row r="214" spans="1:7" x14ac:dyDescent="0.35">
      <c r="A214" s="58" t="s">
        <v>57</v>
      </c>
      <c r="B214" s="5" cm="1">
        <f t="array" ref="B214">IFERROR(
INDEX([1]PMDN!$T$2:$T$436,
_xlfn.AGGREGATE(15,6,
(ROW([1]PMDN!$T$2:$T$436)-ROW([1]PMDN!$T$2)+1)/
([1]PMDN!$H$2:$H$436=$A214),
COUNTIF($A$3:$A214,$A214)
)),
"")</f>
        <v>0</v>
      </c>
      <c r="E214" s="58" t="s">
        <v>57</v>
      </c>
      <c r="F214" s="5" cm="1">
        <f t="array" ref="F214">IFERROR(
INDEX([1]PMDN!$T$2:$T$436,
_xlfn.AGGREGATE(15,6,
(ROW([1]PMDN!$T$2:$T$436)-ROW([1]PMDN!$T$2)+1)/
([1]PMDN!$H$2:$H$436=$E214),
COUNTIF($E$3:$E214,$E214)
)),
"")</f>
        <v>0</v>
      </c>
      <c r="G214" s="73" t="str">
        <f t="shared" si="3"/>
        <v>UMK</v>
      </c>
    </row>
    <row r="215" spans="1:7" x14ac:dyDescent="0.35">
      <c r="A215" s="58" t="s">
        <v>60</v>
      </c>
      <c r="B215" s="5" cm="1">
        <f t="array" ref="B215">IFERROR(
INDEX([1]PMDN!$T$2:$T$436,
_xlfn.AGGREGATE(15,6,
(ROW([1]PMDN!$T$2:$T$436)-ROW([1]PMDN!$T$2)+1)/
([1]PMDN!$H$2:$H$436=$A215),
COUNTIF($A$3:$A215,$A215)
)),
"")</f>
        <v>1001103925</v>
      </c>
      <c r="E215" s="58" t="s">
        <v>60</v>
      </c>
      <c r="F215" s="5" cm="1">
        <f t="array" ref="F215">IFERROR(
INDEX([1]PMDN!$T$2:$T$436,
_xlfn.AGGREGATE(15,6,
(ROW([1]PMDN!$T$2:$T$436)-ROW([1]PMDN!$T$2)+1)/
([1]PMDN!$H$2:$H$436=$E215),
COUNTIF($E$3:$E215,$E215)
)),
"")</f>
        <v>1001103925</v>
      </c>
      <c r="G215" s="73" t="str">
        <f t="shared" si="3"/>
        <v>UMK</v>
      </c>
    </row>
    <row r="216" spans="1:7" x14ac:dyDescent="0.35">
      <c r="A216" s="58" t="s">
        <v>62</v>
      </c>
      <c r="B216" s="5" cm="1">
        <f t="array" ref="B216">IFERROR(
INDEX([1]PMDN!$T$2:$T$436,
_xlfn.AGGREGATE(15,6,
(ROW([1]PMDN!$T$2:$T$436)-ROW([1]PMDN!$T$2)+1)/
([1]PMDN!$H$2:$H$436=$A216),
COUNTIF($A$3:$A216,$A216)
)),
"")</f>
        <v>0</v>
      </c>
      <c r="E216" s="58" t="s">
        <v>62</v>
      </c>
      <c r="F216" s="5" cm="1">
        <f t="array" ref="F216">IFERROR(
INDEX([1]PMDN!$T$2:$T$436,
_xlfn.AGGREGATE(15,6,
(ROW([1]PMDN!$T$2:$T$436)-ROW([1]PMDN!$T$2)+1)/
([1]PMDN!$H$2:$H$436=$E216),
COUNTIF($E$3:$E216,$E216)
)),
"")</f>
        <v>0</v>
      </c>
      <c r="G216" s="73" t="str">
        <f t="shared" si="3"/>
        <v>UMK</v>
      </c>
    </row>
    <row r="217" spans="1:7" x14ac:dyDescent="0.35">
      <c r="A217" s="58" t="s">
        <v>62</v>
      </c>
      <c r="B217" s="5" cm="1">
        <f t="array" ref="B217">IFERROR(
INDEX([1]PMDN!$T$2:$T$436,
_xlfn.AGGREGATE(15,6,
(ROW([1]PMDN!$T$2:$T$436)-ROW([1]PMDN!$T$2)+1)/
([1]PMDN!$H$2:$H$436=$A217),
COUNTIF($A$3:$A217,$A217)
)),
"")</f>
        <v>268124113304</v>
      </c>
      <c r="E217" s="58" t="s">
        <v>62</v>
      </c>
      <c r="F217" s="5" cm="1">
        <f t="array" ref="F217">IFERROR(
INDEX([1]PMDN!$T$2:$T$436,
_xlfn.AGGREGATE(15,6,
(ROW([1]PMDN!$T$2:$T$436)-ROW([1]PMDN!$T$2)+1)/
([1]PMDN!$H$2:$H$436=$E217),
COUNTIF($E$3:$E217,$E217)
)),
"")</f>
        <v>268124113304</v>
      </c>
      <c r="G217" s="73" t="str">
        <f t="shared" si="3"/>
        <v>Non-UMK</v>
      </c>
    </row>
    <row r="218" spans="1:7" x14ac:dyDescent="0.35">
      <c r="A218" s="58" t="s">
        <v>65</v>
      </c>
      <c r="B218" s="5" cm="1">
        <f t="array" ref="B218">IFERROR(
INDEX([1]PMDN!$T$2:$T$436,
_xlfn.AGGREGATE(15,6,
(ROW([1]PMDN!$T$2:$T$436)-ROW([1]PMDN!$T$2)+1)/
([1]PMDN!$H$2:$H$436=$A218),
COUNTIF($A$3:$A218,$A218)
)),
"")</f>
        <v>0</v>
      </c>
      <c r="E218" s="58" t="s">
        <v>65</v>
      </c>
      <c r="F218" s="5" cm="1">
        <f t="array" ref="F218">IFERROR(
INDEX([1]PMDN!$T$2:$T$436,
_xlfn.AGGREGATE(15,6,
(ROW([1]PMDN!$T$2:$T$436)-ROW([1]PMDN!$T$2)+1)/
([1]PMDN!$H$2:$H$436=$E218),
COUNTIF($E$3:$E218,$E218)
)),
"")</f>
        <v>0</v>
      </c>
      <c r="G218" s="73" t="str">
        <f t="shared" si="3"/>
        <v>UMK</v>
      </c>
    </row>
    <row r="219" spans="1:7" x14ac:dyDescent="0.35">
      <c r="A219" s="58" t="s">
        <v>66</v>
      </c>
      <c r="B219" s="5" cm="1">
        <f t="array" ref="B219">IFERROR(
INDEX([1]PMDN!$T$2:$T$436,
_xlfn.AGGREGATE(15,6,
(ROW([1]PMDN!$T$2:$T$436)-ROW([1]PMDN!$T$2)+1)/
([1]PMDN!$H$2:$H$436=$A219),
COUNTIF($A$3:$A219,$A219)
)),
"")</f>
        <v>78106730</v>
      </c>
      <c r="E219" s="58" t="s">
        <v>66</v>
      </c>
      <c r="F219" s="5" cm="1">
        <f t="array" ref="F219">IFERROR(
INDEX([1]PMDN!$T$2:$T$436,
_xlfn.AGGREGATE(15,6,
(ROW([1]PMDN!$T$2:$T$436)-ROW([1]PMDN!$T$2)+1)/
([1]PMDN!$H$2:$H$436=$E219),
COUNTIF($E$3:$E219,$E219)
)),
"")</f>
        <v>78106730</v>
      </c>
      <c r="G219" s="73" t="str">
        <f t="shared" si="3"/>
        <v>UMK</v>
      </c>
    </row>
    <row r="220" spans="1:7" x14ac:dyDescent="0.35">
      <c r="A220" s="58" t="s">
        <v>71</v>
      </c>
      <c r="B220" s="5" cm="1">
        <f t="array" ref="B220">IFERROR(
INDEX([1]PMDN!$T$2:$T$436,
_xlfn.AGGREGATE(15,6,
(ROW([1]PMDN!$T$2:$T$436)-ROW([1]PMDN!$T$2)+1)/
([1]PMDN!$H$2:$H$436=$A220),
COUNTIF($A$3:$A220,$A220)
)),
"")</f>
        <v>12337846042</v>
      </c>
      <c r="E220" s="58" t="s">
        <v>71</v>
      </c>
      <c r="F220" s="5" cm="1">
        <f t="array" ref="F220">IFERROR(
INDEX([1]PMDN!$T$2:$T$436,
_xlfn.AGGREGATE(15,6,
(ROW([1]PMDN!$T$2:$T$436)-ROW([1]PMDN!$T$2)+1)/
([1]PMDN!$H$2:$H$436=$E220),
COUNTIF($E$3:$E220,$E220)
)),
"")</f>
        <v>12337846042</v>
      </c>
      <c r="G220" s="73" t="str">
        <f t="shared" si="3"/>
        <v>Non-UMK</v>
      </c>
    </row>
    <row r="221" spans="1:7" x14ac:dyDescent="0.35">
      <c r="A221" s="58" t="s">
        <v>74</v>
      </c>
      <c r="B221" s="5" cm="1">
        <f t="array" ref="B221">IFERROR(
INDEX([1]PMDN!$T$2:$T$436,
_xlfn.AGGREGATE(15,6,
(ROW([1]PMDN!$T$2:$T$436)-ROW([1]PMDN!$T$2)+1)/
([1]PMDN!$H$2:$H$436=$A221),
COUNTIF($A$3:$A221,$A221)
)),
"")</f>
        <v>387080405000</v>
      </c>
      <c r="E221" s="58" t="s">
        <v>74</v>
      </c>
      <c r="F221" s="5" cm="1">
        <f t="array" ref="F221">IFERROR(
INDEX([1]PMDN!$T$2:$T$436,
_xlfn.AGGREGATE(15,6,
(ROW([1]PMDN!$T$2:$T$436)-ROW([1]PMDN!$T$2)+1)/
([1]PMDN!$H$2:$H$436=$E221),
COUNTIF($E$3:$E221,$E221)
)),
"")</f>
        <v>387080405000</v>
      </c>
      <c r="G221" s="73" t="str">
        <f t="shared" si="3"/>
        <v>Non-UMK</v>
      </c>
    </row>
    <row r="222" spans="1:7" x14ac:dyDescent="0.35">
      <c r="A222" s="58" t="s">
        <v>231</v>
      </c>
      <c r="B222" s="5" cm="1">
        <f t="array" ref="B222">IFERROR(
INDEX([1]PMDN!$T$2:$T$436,
_xlfn.AGGREGATE(15,6,
(ROW([1]PMDN!$T$2:$T$436)-ROW([1]PMDN!$T$2)+1)/
([1]PMDN!$H$2:$H$436=$A222),
COUNTIF($A$3:$A222,$A222)
)),
"")</f>
        <v>10276950</v>
      </c>
      <c r="E222" s="58" t="s">
        <v>231</v>
      </c>
      <c r="F222" s="5" cm="1">
        <f t="array" ref="F222">IFERROR(
INDEX([1]PMDN!$T$2:$T$436,
_xlfn.AGGREGATE(15,6,
(ROW([1]PMDN!$T$2:$T$436)-ROW([1]PMDN!$T$2)+1)/
([1]PMDN!$H$2:$H$436=$E222),
COUNTIF($E$3:$E222,$E222)
)),
"")</f>
        <v>10276950</v>
      </c>
      <c r="G222" s="73" t="str">
        <f t="shared" si="3"/>
        <v>UMK</v>
      </c>
    </row>
    <row r="223" spans="1:7" x14ac:dyDescent="0.35">
      <c r="A223" s="58" t="s">
        <v>231</v>
      </c>
      <c r="B223" s="5" cm="1">
        <f t="array" ref="B223">IFERROR(
INDEX([1]PMDN!$T$2:$T$436,
_xlfn.AGGREGATE(15,6,
(ROW([1]PMDN!$T$2:$T$436)-ROW([1]PMDN!$T$2)+1)/
([1]PMDN!$H$2:$H$436=$A223),
COUNTIF($A$3:$A223,$A223)
)),
"")</f>
        <v>0</v>
      </c>
      <c r="E223" s="58" t="s">
        <v>231</v>
      </c>
      <c r="F223" s="5" cm="1">
        <f t="array" ref="F223">IFERROR(
INDEX([1]PMDN!$T$2:$T$436,
_xlfn.AGGREGATE(15,6,
(ROW([1]PMDN!$T$2:$T$436)-ROW([1]PMDN!$T$2)+1)/
([1]PMDN!$H$2:$H$436=$E223),
COUNTIF($E$3:$E223,$E223)
)),
"")</f>
        <v>0</v>
      </c>
      <c r="G223" s="73" t="str">
        <f t="shared" si="3"/>
        <v>UMK</v>
      </c>
    </row>
    <row r="224" spans="1:7" x14ac:dyDescent="0.35">
      <c r="A224" s="58" t="s">
        <v>92</v>
      </c>
      <c r="B224" s="5" cm="1">
        <f t="array" ref="B224">IFERROR(
INDEX([1]PMDN!$T$2:$T$436,
_xlfn.AGGREGATE(15,6,
(ROW([1]PMDN!$T$2:$T$436)-ROW([1]PMDN!$T$2)+1)/
([1]PMDN!$H$2:$H$436=$A224),
COUNTIF($A$3:$A224,$A224)
)),
"")</f>
        <v>20794952000</v>
      </c>
      <c r="E224" s="58" t="s">
        <v>92</v>
      </c>
      <c r="F224" s="5" cm="1">
        <f t="array" ref="F224">IFERROR(
INDEX([1]PMDN!$T$2:$T$436,
_xlfn.AGGREGATE(15,6,
(ROW([1]PMDN!$T$2:$T$436)-ROW([1]PMDN!$T$2)+1)/
([1]PMDN!$H$2:$H$436=$E224),
COUNTIF($E$3:$E224,$E224)
)),
"")</f>
        <v>20794952000</v>
      </c>
      <c r="G224" s="73" t="str">
        <f t="shared" si="3"/>
        <v>Non-UMK</v>
      </c>
    </row>
    <row r="225" spans="1:7" x14ac:dyDescent="0.35">
      <c r="A225" s="58" t="s">
        <v>93</v>
      </c>
      <c r="B225" s="5" cm="1">
        <f t="array" ref="B225">IFERROR(
INDEX([1]PMDN!$T$2:$T$436,
_xlfn.AGGREGATE(15,6,
(ROW([1]PMDN!$T$2:$T$436)-ROW([1]PMDN!$T$2)+1)/
([1]PMDN!$H$2:$H$436=$A225),
COUNTIF($A$3:$A225,$A225)
)),
"")</f>
        <v>0</v>
      </c>
      <c r="E225" s="58" t="s">
        <v>93</v>
      </c>
      <c r="F225" s="5" cm="1">
        <f t="array" ref="F225">IFERROR(
INDEX([1]PMDN!$T$2:$T$436,
_xlfn.AGGREGATE(15,6,
(ROW([1]PMDN!$T$2:$T$436)-ROW([1]PMDN!$T$2)+1)/
([1]PMDN!$H$2:$H$436=$E225),
COUNTIF($E$3:$E225,$E225)
)),
"")</f>
        <v>0</v>
      </c>
      <c r="G225" s="73" t="str">
        <f t="shared" si="3"/>
        <v>UMK</v>
      </c>
    </row>
    <row r="226" spans="1:7" x14ac:dyDescent="0.35">
      <c r="A226" s="58" t="s">
        <v>93</v>
      </c>
      <c r="B226" s="5" cm="1">
        <f t="array" ref="B226">IFERROR(
INDEX([1]PMDN!$T$2:$T$436,
_xlfn.AGGREGATE(15,6,
(ROW([1]PMDN!$T$2:$T$436)-ROW([1]PMDN!$T$2)+1)/
([1]PMDN!$H$2:$H$436=$A226),
COUNTIF($A$3:$A226,$A226)
)),
"")</f>
        <v>0</v>
      </c>
      <c r="E226" s="58" t="s">
        <v>93</v>
      </c>
      <c r="F226" s="5" cm="1">
        <f t="array" ref="F226">IFERROR(
INDEX([1]PMDN!$T$2:$T$436,
_xlfn.AGGREGATE(15,6,
(ROW([1]PMDN!$T$2:$T$436)-ROW([1]PMDN!$T$2)+1)/
([1]PMDN!$H$2:$H$436=$E226),
COUNTIF($E$3:$E226,$E226)
)),
"")</f>
        <v>0</v>
      </c>
      <c r="G226" s="73" t="str">
        <f t="shared" si="3"/>
        <v>UMK</v>
      </c>
    </row>
    <row r="227" spans="1:7" x14ac:dyDescent="0.35">
      <c r="A227" s="58" t="s">
        <v>97</v>
      </c>
      <c r="B227" s="5" cm="1">
        <f t="array" ref="B227">IFERROR(
INDEX([1]PMDN!$T$2:$T$436,
_xlfn.AGGREGATE(15,6,
(ROW([1]PMDN!$T$2:$T$436)-ROW([1]PMDN!$T$2)+1)/
([1]PMDN!$H$2:$H$436=$A227),
COUNTIF($A$3:$A227,$A227)
)),
"")</f>
        <v>0</v>
      </c>
      <c r="E227" s="58" t="s">
        <v>97</v>
      </c>
      <c r="F227" s="5" cm="1">
        <f t="array" ref="F227">IFERROR(
INDEX([1]PMDN!$T$2:$T$436,
_xlfn.AGGREGATE(15,6,
(ROW([1]PMDN!$T$2:$T$436)-ROW([1]PMDN!$T$2)+1)/
([1]PMDN!$H$2:$H$436=$E227),
COUNTIF($E$3:$E227,$E227)
)),
"")</f>
        <v>0</v>
      </c>
      <c r="G227" s="73" t="str">
        <f t="shared" si="3"/>
        <v>UMK</v>
      </c>
    </row>
    <row r="228" spans="1:7" x14ac:dyDescent="0.35">
      <c r="A228" s="58" t="s">
        <v>98</v>
      </c>
      <c r="B228" s="5" cm="1">
        <f t="array" ref="B228">IFERROR(
INDEX([1]PMDN!$T$2:$T$436,
_xlfn.AGGREGATE(15,6,
(ROW([1]PMDN!$T$2:$T$436)-ROW([1]PMDN!$T$2)+1)/
([1]PMDN!$H$2:$H$436=$A228),
COUNTIF($A$3:$A228,$A228)
)),
"")</f>
        <v>0</v>
      </c>
      <c r="E228" s="58" t="s">
        <v>98</v>
      </c>
      <c r="F228" s="5" cm="1">
        <f t="array" ref="F228">IFERROR(
INDEX([1]PMDN!$T$2:$T$436,
_xlfn.AGGREGATE(15,6,
(ROW([1]PMDN!$T$2:$T$436)-ROW([1]PMDN!$T$2)+1)/
([1]PMDN!$H$2:$H$436=$E228),
COUNTIF($E$3:$E228,$E228)
)),
"")</f>
        <v>0</v>
      </c>
      <c r="G228" s="73" t="str">
        <f t="shared" si="3"/>
        <v>UMK</v>
      </c>
    </row>
    <row r="229" spans="1:7" x14ac:dyDescent="0.35">
      <c r="A229" s="58" t="s">
        <v>101</v>
      </c>
      <c r="B229" s="5" cm="1">
        <f t="array" ref="B229">IFERROR(
INDEX([1]PMDN!$T$2:$T$436,
_xlfn.AGGREGATE(15,6,
(ROW([1]PMDN!$T$2:$T$436)-ROW([1]PMDN!$T$2)+1)/
([1]PMDN!$H$2:$H$436=$A229),
COUNTIF($A$3:$A229,$A229)
)),
"")</f>
        <v>0</v>
      </c>
      <c r="E229" s="58" t="s">
        <v>101</v>
      </c>
      <c r="F229" s="5" cm="1">
        <f t="array" ref="F229">IFERROR(
INDEX([1]PMDN!$T$2:$T$436,
_xlfn.AGGREGATE(15,6,
(ROW([1]PMDN!$T$2:$T$436)-ROW([1]PMDN!$T$2)+1)/
([1]PMDN!$H$2:$H$436=$E229),
COUNTIF($E$3:$E229,$E229)
)),
"")</f>
        <v>0</v>
      </c>
      <c r="G229" s="73" t="str">
        <f t="shared" si="3"/>
        <v>UMK</v>
      </c>
    </row>
    <row r="230" spans="1:7" x14ac:dyDescent="0.35">
      <c r="A230" s="58" t="s">
        <v>101</v>
      </c>
      <c r="B230" s="5" cm="1">
        <f t="array" ref="B230">IFERROR(
INDEX([1]PMDN!$T$2:$T$436,
_xlfn.AGGREGATE(15,6,
(ROW([1]PMDN!$T$2:$T$436)-ROW([1]PMDN!$T$2)+1)/
([1]PMDN!$H$2:$H$436=$A230),
COUNTIF($A$3:$A230,$A230)
)),
"")</f>
        <v>0</v>
      </c>
      <c r="E230" s="58" t="s">
        <v>101</v>
      </c>
      <c r="F230" s="5" cm="1">
        <f t="array" ref="F230">IFERROR(
INDEX([1]PMDN!$T$2:$T$436,
_xlfn.AGGREGATE(15,6,
(ROW([1]PMDN!$T$2:$T$436)-ROW([1]PMDN!$T$2)+1)/
([1]PMDN!$H$2:$H$436=$E230),
COUNTIF($E$3:$E230,$E230)
)),
"")</f>
        <v>0</v>
      </c>
      <c r="G230" s="73" t="str">
        <f t="shared" si="3"/>
        <v>UMK</v>
      </c>
    </row>
    <row r="231" spans="1:7" x14ac:dyDescent="0.35">
      <c r="A231" s="58" t="s">
        <v>101</v>
      </c>
      <c r="B231" s="5" cm="1">
        <f t="array" ref="B231">IFERROR(
INDEX([1]PMDN!$T$2:$T$436,
_xlfn.AGGREGATE(15,6,
(ROW([1]PMDN!$T$2:$T$436)-ROW([1]PMDN!$T$2)+1)/
([1]PMDN!$H$2:$H$436=$A231),
COUNTIF($A$3:$A231,$A231)
)),
"")</f>
        <v>0</v>
      </c>
      <c r="E231" s="58" t="s">
        <v>101</v>
      </c>
      <c r="F231" s="5" cm="1">
        <f t="array" ref="F231">IFERROR(
INDEX([1]PMDN!$T$2:$T$436,
_xlfn.AGGREGATE(15,6,
(ROW([1]PMDN!$T$2:$T$436)-ROW([1]PMDN!$T$2)+1)/
([1]PMDN!$H$2:$H$436=$E231),
COUNTIF($E$3:$E231,$E231)
)),
"")</f>
        <v>0</v>
      </c>
      <c r="G231" s="73" t="str">
        <f t="shared" si="3"/>
        <v>UMK</v>
      </c>
    </row>
    <row r="232" spans="1:7" x14ac:dyDescent="0.35">
      <c r="A232" s="58" t="s">
        <v>110</v>
      </c>
      <c r="B232" s="5" cm="1">
        <f t="array" ref="B232">IFERROR(
INDEX([1]PMDN!$T$2:$T$436,
_xlfn.AGGREGATE(15,6,
(ROW([1]PMDN!$T$2:$T$436)-ROW([1]PMDN!$T$2)+1)/
([1]PMDN!$H$2:$H$436=$A232),
COUNTIF($A$3:$A232,$A232)
)),
"")</f>
        <v>4636402680</v>
      </c>
      <c r="E232" s="58" t="s">
        <v>110</v>
      </c>
      <c r="F232" s="5" cm="1">
        <f t="array" ref="F232">IFERROR(
INDEX([1]PMDN!$T$2:$T$436,
_xlfn.AGGREGATE(15,6,
(ROW([1]PMDN!$T$2:$T$436)-ROW([1]PMDN!$T$2)+1)/
([1]PMDN!$H$2:$H$436=$E232),
COUNTIF($E$3:$E232,$E232)
)),
"")</f>
        <v>4636402680</v>
      </c>
      <c r="G232" s="73" t="str">
        <f t="shared" si="3"/>
        <v>UMK</v>
      </c>
    </row>
    <row r="233" spans="1:7" x14ac:dyDescent="0.35">
      <c r="A233" s="58" t="s">
        <v>110</v>
      </c>
      <c r="B233" s="5" cm="1">
        <f t="array" ref="B233">IFERROR(
INDEX([1]PMDN!$T$2:$T$436,
_xlfn.AGGREGATE(15,6,
(ROW([1]PMDN!$T$2:$T$436)-ROW([1]PMDN!$T$2)+1)/
([1]PMDN!$H$2:$H$436=$A233),
COUNTIF($A$3:$A233,$A233)
)),
"")</f>
        <v>3</v>
      </c>
      <c r="E233" s="58" t="s">
        <v>110</v>
      </c>
      <c r="F233" s="5" cm="1">
        <f t="array" ref="F233">IFERROR(
INDEX([1]PMDN!$T$2:$T$436,
_xlfn.AGGREGATE(15,6,
(ROW([1]PMDN!$T$2:$T$436)-ROW([1]PMDN!$T$2)+1)/
([1]PMDN!$H$2:$H$436=$E233),
COUNTIF($E$3:$E233,$E233)
)),
"")</f>
        <v>3</v>
      </c>
      <c r="G233" s="73" t="str">
        <f t="shared" si="3"/>
        <v>UMK</v>
      </c>
    </row>
    <row r="234" spans="1:7" x14ac:dyDescent="0.35">
      <c r="A234" s="58" t="s">
        <v>110</v>
      </c>
      <c r="B234" s="5" cm="1">
        <f t="array" ref="B234">IFERROR(
INDEX([1]PMDN!$T$2:$T$436,
_xlfn.AGGREGATE(15,6,
(ROW([1]PMDN!$T$2:$T$436)-ROW([1]PMDN!$T$2)+1)/
([1]PMDN!$H$2:$H$436=$A234),
COUNTIF($A$3:$A234,$A234)
)),
"")</f>
        <v>3</v>
      </c>
      <c r="E234" s="58" t="s">
        <v>110</v>
      </c>
      <c r="F234" s="5" cm="1">
        <f t="array" ref="F234">IFERROR(
INDEX([1]PMDN!$T$2:$T$436,
_xlfn.AGGREGATE(15,6,
(ROW([1]PMDN!$T$2:$T$436)-ROW([1]PMDN!$T$2)+1)/
([1]PMDN!$H$2:$H$436=$E234),
COUNTIF($E$3:$E234,$E234)
)),
"")</f>
        <v>3</v>
      </c>
      <c r="G234" s="73" t="str">
        <f t="shared" si="3"/>
        <v>UMK</v>
      </c>
    </row>
    <row r="235" spans="1:7" x14ac:dyDescent="0.35">
      <c r="A235" s="58" t="s">
        <v>110</v>
      </c>
      <c r="B235" s="5" cm="1">
        <f t="array" ref="B235">IFERROR(
INDEX([1]PMDN!$T$2:$T$436,
_xlfn.AGGREGATE(15,6,
(ROW([1]PMDN!$T$2:$T$436)-ROW([1]PMDN!$T$2)+1)/
([1]PMDN!$H$2:$H$436=$A235),
COUNTIF($A$3:$A235,$A235)
)),
"")</f>
        <v>3</v>
      </c>
      <c r="E235" s="58" t="s">
        <v>110</v>
      </c>
      <c r="F235" s="5" cm="1">
        <f t="array" ref="F235">IFERROR(
INDEX([1]PMDN!$T$2:$T$436,
_xlfn.AGGREGATE(15,6,
(ROW([1]PMDN!$T$2:$T$436)-ROW([1]PMDN!$T$2)+1)/
([1]PMDN!$H$2:$H$436=$E235),
COUNTIF($E$3:$E235,$E235)
)),
"")</f>
        <v>3</v>
      </c>
      <c r="G235" s="73" t="str">
        <f t="shared" si="3"/>
        <v>UMK</v>
      </c>
    </row>
    <row r="236" spans="1:7" x14ac:dyDescent="0.35">
      <c r="A236" s="58" t="s">
        <v>114</v>
      </c>
      <c r="B236" s="5" cm="1">
        <f t="array" ref="B236">IFERROR(
INDEX([1]PMDN!$T$2:$T$436,
_xlfn.AGGREGATE(15,6,
(ROW([1]PMDN!$T$2:$T$436)-ROW([1]PMDN!$T$2)+1)/
([1]PMDN!$H$2:$H$436=$A236),
COUNTIF($A$3:$A236,$A236)
)),
"")</f>
        <v>402083334</v>
      </c>
      <c r="E236" s="58" t="s">
        <v>114</v>
      </c>
      <c r="F236" s="5" cm="1">
        <f t="array" ref="F236">IFERROR(
INDEX([1]PMDN!$T$2:$T$436,
_xlfn.AGGREGATE(15,6,
(ROW([1]PMDN!$T$2:$T$436)-ROW([1]PMDN!$T$2)+1)/
([1]PMDN!$H$2:$H$436=$E236),
COUNTIF($E$3:$E236,$E236)
)),
"")</f>
        <v>402083334</v>
      </c>
      <c r="G236" s="73" t="str">
        <f t="shared" si="3"/>
        <v>UMK</v>
      </c>
    </row>
    <row r="237" spans="1:7" x14ac:dyDescent="0.35">
      <c r="A237" s="58" t="s">
        <v>116</v>
      </c>
      <c r="B237" s="5" cm="1">
        <f t="array" ref="B237">IFERROR(
INDEX([1]PMDN!$T$2:$T$436,
_xlfn.AGGREGATE(15,6,
(ROW([1]PMDN!$T$2:$T$436)-ROW([1]PMDN!$T$2)+1)/
([1]PMDN!$H$2:$H$436=$A237),
COUNTIF($A$3:$A237,$A237)
)),
"")</f>
        <v>0</v>
      </c>
      <c r="E237" s="58" t="s">
        <v>116</v>
      </c>
      <c r="F237" s="5" cm="1">
        <f t="array" ref="F237">IFERROR(
INDEX([1]PMDN!$T$2:$T$436,
_xlfn.AGGREGATE(15,6,
(ROW([1]PMDN!$T$2:$T$436)-ROW([1]PMDN!$T$2)+1)/
([1]PMDN!$H$2:$H$436=$E237),
COUNTIF($E$3:$E237,$E237)
)),
"")</f>
        <v>0</v>
      </c>
      <c r="G237" s="73" t="str">
        <f t="shared" si="3"/>
        <v>UMK</v>
      </c>
    </row>
    <row r="238" spans="1:7" x14ac:dyDescent="0.35">
      <c r="A238" s="58" t="s">
        <v>118</v>
      </c>
      <c r="B238" s="5" cm="1">
        <f t="array" ref="B238">IFERROR(
INDEX([1]PMDN!$T$2:$T$436,
_xlfn.AGGREGATE(15,6,
(ROW([1]PMDN!$T$2:$T$436)-ROW([1]PMDN!$T$2)+1)/
([1]PMDN!$H$2:$H$436=$A238),
COUNTIF($A$3:$A238,$A238)
)),
"")</f>
        <v>714082446</v>
      </c>
      <c r="E238" s="58" t="s">
        <v>118</v>
      </c>
      <c r="F238" s="5" cm="1">
        <f t="array" ref="F238">IFERROR(
INDEX([1]PMDN!$T$2:$T$436,
_xlfn.AGGREGATE(15,6,
(ROW([1]PMDN!$T$2:$T$436)-ROW([1]PMDN!$T$2)+1)/
([1]PMDN!$H$2:$H$436=$E238),
COUNTIF($E$3:$E238,$E238)
)),
"")</f>
        <v>714082446</v>
      </c>
      <c r="G238" s="73" t="str">
        <f t="shared" si="3"/>
        <v>UMK</v>
      </c>
    </row>
    <row r="239" spans="1:7" x14ac:dyDescent="0.35">
      <c r="A239" s="58" t="s">
        <v>118</v>
      </c>
      <c r="B239" s="5" cm="1">
        <f t="array" ref="B239">IFERROR(
INDEX([1]PMDN!$T$2:$T$436,
_xlfn.AGGREGATE(15,6,
(ROW([1]PMDN!$T$2:$T$436)-ROW([1]PMDN!$T$2)+1)/
([1]PMDN!$H$2:$H$436=$A239),
COUNTIF($A$3:$A239,$A239)
)),
"")</f>
        <v>713032446</v>
      </c>
      <c r="E239" s="58" t="s">
        <v>118</v>
      </c>
      <c r="F239" s="5" cm="1">
        <f t="array" ref="F239">IFERROR(
INDEX([1]PMDN!$T$2:$T$436,
_xlfn.AGGREGATE(15,6,
(ROW([1]PMDN!$T$2:$T$436)-ROW([1]PMDN!$T$2)+1)/
([1]PMDN!$H$2:$H$436=$E239),
COUNTIF($E$3:$E239,$E239)
)),
"")</f>
        <v>713032446</v>
      </c>
      <c r="G239" s="73" t="str">
        <f t="shared" si="3"/>
        <v>UMK</v>
      </c>
    </row>
    <row r="240" spans="1:7" x14ac:dyDescent="0.35">
      <c r="A240" s="58" t="s">
        <v>118</v>
      </c>
      <c r="B240" s="5" cm="1">
        <f t="array" ref="B240">IFERROR(
INDEX([1]PMDN!$T$2:$T$436,
_xlfn.AGGREGATE(15,6,
(ROW([1]PMDN!$T$2:$T$436)-ROW([1]PMDN!$T$2)+1)/
([1]PMDN!$H$2:$H$436=$A240),
COUNTIF($A$3:$A240,$A240)
)),
"")</f>
        <v>1660310504</v>
      </c>
      <c r="E240" s="58" t="s">
        <v>118</v>
      </c>
      <c r="F240" s="5" cm="1">
        <f t="array" ref="F240">IFERROR(
INDEX([1]PMDN!$T$2:$T$436,
_xlfn.AGGREGATE(15,6,
(ROW([1]PMDN!$T$2:$T$436)-ROW([1]PMDN!$T$2)+1)/
([1]PMDN!$H$2:$H$436=$E240),
COUNTIF($E$3:$E240,$E240)
)),
"")</f>
        <v>1660310504</v>
      </c>
      <c r="G240" s="73" t="str">
        <f t="shared" si="3"/>
        <v>UMK</v>
      </c>
    </row>
    <row r="241" spans="1:7" x14ac:dyDescent="0.35">
      <c r="A241" s="58" t="s">
        <v>123</v>
      </c>
      <c r="B241" s="5" cm="1">
        <f t="array" ref="B241">IFERROR(
INDEX([1]PMDN!$T$2:$T$436,
_xlfn.AGGREGATE(15,6,
(ROW([1]PMDN!$T$2:$T$436)-ROW([1]PMDN!$T$2)+1)/
([1]PMDN!$H$2:$H$436=$A241),
COUNTIF($A$3:$A241,$A241)
)),
"")</f>
        <v>571116503552</v>
      </c>
      <c r="E241" s="58" t="s">
        <v>123</v>
      </c>
      <c r="F241" s="5" cm="1">
        <f t="array" ref="F241">IFERROR(
INDEX([1]PMDN!$T$2:$T$436,
_xlfn.AGGREGATE(15,6,
(ROW([1]PMDN!$T$2:$T$436)-ROW([1]PMDN!$T$2)+1)/
([1]PMDN!$H$2:$H$436=$E241),
COUNTIF($E$3:$E241,$E241)
)),
"")</f>
        <v>571116503552</v>
      </c>
      <c r="G241" s="73" t="str">
        <f t="shared" si="3"/>
        <v>Non-UMK</v>
      </c>
    </row>
    <row r="242" spans="1:7" x14ac:dyDescent="0.35">
      <c r="A242" s="58" t="s">
        <v>128</v>
      </c>
      <c r="B242" s="5" cm="1">
        <f t="array" ref="B242">IFERROR(
INDEX([1]PMDN!$T$2:$T$436,
_xlfn.AGGREGATE(15,6,
(ROW([1]PMDN!$T$2:$T$436)-ROW([1]PMDN!$T$2)+1)/
([1]PMDN!$H$2:$H$436=$A242),
COUNTIF($A$3:$A242,$A242)
)),
"")</f>
        <v>4253591890</v>
      </c>
      <c r="E242" s="58" t="s">
        <v>128</v>
      </c>
      <c r="F242" s="5" cm="1">
        <f t="array" ref="F242">IFERROR(
INDEX([1]PMDN!$T$2:$T$436,
_xlfn.AGGREGATE(15,6,
(ROW([1]PMDN!$T$2:$T$436)-ROW([1]PMDN!$T$2)+1)/
([1]PMDN!$H$2:$H$436=$E242),
COUNTIF($E$3:$E242,$E242)
)),
"")</f>
        <v>4253591890</v>
      </c>
      <c r="G242" s="73" t="str">
        <f t="shared" si="3"/>
        <v>UMK</v>
      </c>
    </row>
    <row r="243" spans="1:7" x14ac:dyDescent="0.35">
      <c r="A243" s="58" t="s">
        <v>128</v>
      </c>
      <c r="B243" s="5" cm="1">
        <f t="array" ref="B243">IFERROR(
INDEX([1]PMDN!$T$2:$T$436,
_xlfn.AGGREGATE(15,6,
(ROW([1]PMDN!$T$2:$T$436)-ROW([1]PMDN!$T$2)+1)/
([1]PMDN!$H$2:$H$436=$A243),
COUNTIF($A$3:$A243,$A243)
)),
"")</f>
        <v>2228838940</v>
      </c>
      <c r="E243" s="58" t="s">
        <v>128</v>
      </c>
      <c r="F243" s="5" cm="1">
        <f t="array" ref="F243">IFERROR(
INDEX([1]PMDN!$T$2:$T$436,
_xlfn.AGGREGATE(15,6,
(ROW([1]PMDN!$T$2:$T$436)-ROW([1]PMDN!$T$2)+1)/
([1]PMDN!$H$2:$H$436=$E243),
COUNTIF($E$3:$E243,$E243)
)),
"")</f>
        <v>2228838940</v>
      </c>
      <c r="G243" s="73" t="str">
        <f t="shared" si="3"/>
        <v>UMK</v>
      </c>
    </row>
    <row r="244" spans="1:7" x14ac:dyDescent="0.35">
      <c r="A244" s="58" t="s">
        <v>128</v>
      </c>
      <c r="B244" s="5" cm="1">
        <f t="array" ref="B244">IFERROR(
INDEX([1]PMDN!$T$2:$T$436,
_xlfn.AGGREGATE(15,6,
(ROW([1]PMDN!$T$2:$T$436)-ROW([1]PMDN!$T$2)+1)/
([1]PMDN!$H$2:$H$436=$A244),
COUNTIF($A$3:$A244,$A244)
)),
"")</f>
        <v>0</v>
      </c>
      <c r="E244" s="58" t="s">
        <v>128</v>
      </c>
      <c r="F244" s="5" cm="1">
        <f t="array" ref="F244">IFERROR(
INDEX([1]PMDN!$T$2:$T$436,
_xlfn.AGGREGATE(15,6,
(ROW([1]PMDN!$T$2:$T$436)-ROW([1]PMDN!$T$2)+1)/
([1]PMDN!$H$2:$H$436=$E244),
COUNTIF($E$3:$E244,$E244)
)),
"")</f>
        <v>0</v>
      </c>
      <c r="G244" s="73" t="str">
        <f t="shared" si="3"/>
        <v>UMK</v>
      </c>
    </row>
    <row r="245" spans="1:7" x14ac:dyDescent="0.35">
      <c r="A245" s="58" t="s">
        <v>128</v>
      </c>
      <c r="B245" s="5" cm="1">
        <f t="array" ref="B245">IFERROR(
INDEX([1]PMDN!$T$2:$T$436,
_xlfn.AGGREGATE(15,6,
(ROW([1]PMDN!$T$2:$T$436)-ROW([1]PMDN!$T$2)+1)/
([1]PMDN!$H$2:$H$436=$A245),
COUNTIF($A$3:$A245,$A245)
)),
"")</f>
        <v>0</v>
      </c>
      <c r="E245" s="58" t="s">
        <v>128</v>
      </c>
      <c r="F245" s="5" cm="1">
        <f t="array" ref="F245">IFERROR(
INDEX([1]PMDN!$T$2:$T$436,
_xlfn.AGGREGATE(15,6,
(ROW([1]PMDN!$T$2:$T$436)-ROW([1]PMDN!$T$2)+1)/
([1]PMDN!$H$2:$H$436=$E245),
COUNTIF($E$3:$E245,$E245)
)),
"")</f>
        <v>0</v>
      </c>
      <c r="G245" s="73" t="str">
        <f t="shared" si="3"/>
        <v>UMK</v>
      </c>
    </row>
    <row r="246" spans="1:7" x14ac:dyDescent="0.35">
      <c r="A246" s="58" t="s">
        <v>128</v>
      </c>
      <c r="B246" s="5" cm="1">
        <f t="array" ref="B246">IFERROR(
INDEX([1]PMDN!$T$2:$T$436,
_xlfn.AGGREGATE(15,6,
(ROW([1]PMDN!$T$2:$T$436)-ROW([1]PMDN!$T$2)+1)/
([1]PMDN!$H$2:$H$436=$A246),
COUNTIF($A$3:$A246,$A246)
)),
"")</f>
        <v>0</v>
      </c>
      <c r="E246" s="58" t="s">
        <v>128</v>
      </c>
      <c r="F246" s="5" cm="1">
        <f t="array" ref="F246">IFERROR(
INDEX([1]PMDN!$T$2:$T$436,
_xlfn.AGGREGATE(15,6,
(ROW([1]PMDN!$T$2:$T$436)-ROW([1]PMDN!$T$2)+1)/
([1]PMDN!$H$2:$H$436=$E246),
COUNTIF($E$3:$E246,$E246)
)),
"")</f>
        <v>0</v>
      </c>
      <c r="G246" s="73" t="str">
        <f t="shared" si="3"/>
        <v>UMK</v>
      </c>
    </row>
    <row r="247" spans="1:7" x14ac:dyDescent="0.35">
      <c r="A247" s="58" t="s">
        <v>128</v>
      </c>
      <c r="B247" s="5" cm="1">
        <f t="array" ref="B247">IFERROR(
INDEX([1]PMDN!$T$2:$T$436,
_xlfn.AGGREGATE(15,6,
(ROW([1]PMDN!$T$2:$T$436)-ROW([1]PMDN!$T$2)+1)/
([1]PMDN!$H$2:$H$436=$A247),
COUNTIF($A$3:$A247,$A247)
)),
"")</f>
        <v>0</v>
      </c>
      <c r="E247" s="58" t="s">
        <v>128</v>
      </c>
      <c r="F247" s="5" cm="1">
        <f t="array" ref="F247">IFERROR(
INDEX([1]PMDN!$T$2:$T$436,
_xlfn.AGGREGATE(15,6,
(ROW([1]PMDN!$T$2:$T$436)-ROW([1]PMDN!$T$2)+1)/
([1]PMDN!$H$2:$H$436=$E247),
COUNTIF($E$3:$E247,$E247)
)),
"")</f>
        <v>0</v>
      </c>
      <c r="G247" s="73" t="str">
        <f t="shared" si="3"/>
        <v>UMK</v>
      </c>
    </row>
    <row r="248" spans="1:7" x14ac:dyDescent="0.35">
      <c r="A248" s="58" t="s">
        <v>128</v>
      </c>
      <c r="B248" s="5" cm="1">
        <f t="array" ref="B248">IFERROR(
INDEX([1]PMDN!$T$2:$T$436,
_xlfn.AGGREGATE(15,6,
(ROW([1]PMDN!$T$2:$T$436)-ROW([1]PMDN!$T$2)+1)/
([1]PMDN!$H$2:$H$436=$A248),
COUNTIF($A$3:$A248,$A248)
)),
"")</f>
        <v>0</v>
      </c>
      <c r="E248" s="58" t="s">
        <v>128</v>
      </c>
      <c r="F248" s="5" cm="1">
        <f t="array" ref="F248">IFERROR(
INDEX([1]PMDN!$T$2:$T$436,
_xlfn.AGGREGATE(15,6,
(ROW([1]PMDN!$T$2:$T$436)-ROW([1]PMDN!$T$2)+1)/
([1]PMDN!$H$2:$H$436=$E248),
COUNTIF($E$3:$E248,$E248)
)),
"")</f>
        <v>0</v>
      </c>
      <c r="G248" s="73" t="str">
        <f t="shared" si="3"/>
        <v>UMK</v>
      </c>
    </row>
    <row r="249" spans="1:7" x14ac:dyDescent="0.35">
      <c r="A249" s="58" t="s">
        <v>128</v>
      </c>
      <c r="B249" s="5" cm="1">
        <f t="array" ref="B249">IFERROR(
INDEX([1]PMDN!$T$2:$T$436,
_xlfn.AGGREGATE(15,6,
(ROW([1]PMDN!$T$2:$T$436)-ROW([1]PMDN!$T$2)+1)/
([1]PMDN!$H$2:$H$436=$A249),
COUNTIF($A$3:$A249,$A249)
)),
"")</f>
        <v>0</v>
      </c>
      <c r="E249" s="58" t="s">
        <v>128</v>
      </c>
      <c r="F249" s="5" cm="1">
        <f t="array" ref="F249">IFERROR(
INDEX([1]PMDN!$T$2:$T$436,
_xlfn.AGGREGATE(15,6,
(ROW([1]PMDN!$T$2:$T$436)-ROW([1]PMDN!$T$2)+1)/
([1]PMDN!$H$2:$H$436=$E249),
COUNTIF($E$3:$E249,$E249)
)),
"")</f>
        <v>0</v>
      </c>
      <c r="G249" s="73" t="str">
        <f t="shared" si="3"/>
        <v>UMK</v>
      </c>
    </row>
    <row r="250" spans="1:7" x14ac:dyDescent="0.35">
      <c r="A250" s="58" t="s">
        <v>128</v>
      </c>
      <c r="B250" s="5" cm="1">
        <f t="array" ref="B250">IFERROR(
INDEX([1]PMDN!$T$2:$T$436,
_xlfn.AGGREGATE(15,6,
(ROW([1]PMDN!$T$2:$T$436)-ROW([1]PMDN!$T$2)+1)/
([1]PMDN!$H$2:$H$436=$A250),
COUNTIF($A$3:$A250,$A250)
)),
"")</f>
        <v>0</v>
      </c>
      <c r="E250" s="58" t="s">
        <v>128</v>
      </c>
      <c r="F250" s="5" cm="1">
        <f t="array" ref="F250">IFERROR(
INDEX([1]PMDN!$T$2:$T$436,
_xlfn.AGGREGATE(15,6,
(ROW([1]PMDN!$T$2:$T$436)-ROW([1]PMDN!$T$2)+1)/
([1]PMDN!$H$2:$H$436=$E250),
COUNTIF($E$3:$E250,$E250)
)),
"")</f>
        <v>0</v>
      </c>
      <c r="G250" s="73" t="str">
        <f t="shared" si="3"/>
        <v>UMK</v>
      </c>
    </row>
    <row r="251" spans="1:7" x14ac:dyDescent="0.35">
      <c r="A251" s="58" t="s">
        <v>128</v>
      </c>
      <c r="B251" s="5" cm="1">
        <f t="array" ref="B251">IFERROR(
INDEX([1]PMDN!$T$2:$T$436,
_xlfn.AGGREGATE(15,6,
(ROW([1]PMDN!$T$2:$T$436)-ROW([1]PMDN!$T$2)+1)/
([1]PMDN!$H$2:$H$436=$A251),
COUNTIF($A$3:$A251,$A251)
)),
"")</f>
        <v>0</v>
      </c>
      <c r="E251" s="58" t="s">
        <v>128</v>
      </c>
      <c r="F251" s="5" cm="1">
        <f t="array" ref="F251">IFERROR(
INDEX([1]PMDN!$T$2:$T$436,
_xlfn.AGGREGATE(15,6,
(ROW([1]PMDN!$T$2:$T$436)-ROW([1]PMDN!$T$2)+1)/
([1]PMDN!$H$2:$H$436=$E251),
COUNTIF($E$3:$E251,$E251)
)),
"")</f>
        <v>0</v>
      </c>
      <c r="G251" s="73" t="str">
        <f t="shared" si="3"/>
        <v>UMK</v>
      </c>
    </row>
    <row r="252" spans="1:7" x14ac:dyDescent="0.35">
      <c r="A252" s="58" t="s">
        <v>128</v>
      </c>
      <c r="B252" s="5" cm="1">
        <f t="array" ref="B252">IFERROR(
INDEX([1]PMDN!$T$2:$T$436,
_xlfn.AGGREGATE(15,6,
(ROW([1]PMDN!$T$2:$T$436)-ROW([1]PMDN!$T$2)+1)/
([1]PMDN!$H$2:$H$436=$A252),
COUNTIF($A$3:$A252,$A252)
)),
"")</f>
        <v>0</v>
      </c>
      <c r="E252" s="58" t="s">
        <v>128</v>
      </c>
      <c r="F252" s="5" cm="1">
        <f t="array" ref="F252">IFERROR(
INDEX([1]PMDN!$T$2:$T$436,
_xlfn.AGGREGATE(15,6,
(ROW([1]PMDN!$T$2:$T$436)-ROW([1]PMDN!$T$2)+1)/
([1]PMDN!$H$2:$H$436=$E252),
COUNTIF($E$3:$E252,$E252)
)),
"")</f>
        <v>0</v>
      </c>
      <c r="G252" s="73" t="str">
        <f t="shared" si="3"/>
        <v>UMK</v>
      </c>
    </row>
    <row r="253" spans="1:7" x14ac:dyDescent="0.35">
      <c r="A253" s="58" t="s">
        <v>128</v>
      </c>
      <c r="B253" s="5" cm="1">
        <f t="array" ref="B253">IFERROR(
INDEX([1]PMDN!$T$2:$T$436,
_xlfn.AGGREGATE(15,6,
(ROW([1]PMDN!$T$2:$T$436)-ROW([1]PMDN!$T$2)+1)/
([1]PMDN!$H$2:$H$436=$A253),
COUNTIF($A$3:$A253,$A253)
)),
"")</f>
        <v>0</v>
      </c>
      <c r="E253" s="58" t="s">
        <v>128</v>
      </c>
      <c r="F253" s="5" cm="1">
        <f t="array" ref="F253">IFERROR(
INDEX([1]PMDN!$T$2:$T$436,
_xlfn.AGGREGATE(15,6,
(ROW([1]PMDN!$T$2:$T$436)-ROW([1]PMDN!$T$2)+1)/
([1]PMDN!$H$2:$H$436=$E253),
COUNTIF($E$3:$E253,$E253)
)),
"")</f>
        <v>0</v>
      </c>
      <c r="G253" s="73" t="str">
        <f t="shared" si="3"/>
        <v>UMK</v>
      </c>
    </row>
    <row r="254" spans="1:7" x14ac:dyDescent="0.35">
      <c r="A254" s="58" t="s">
        <v>128</v>
      </c>
      <c r="B254" s="5" cm="1">
        <f t="array" ref="B254">IFERROR(
INDEX([1]PMDN!$T$2:$T$436,
_xlfn.AGGREGATE(15,6,
(ROW([1]PMDN!$T$2:$T$436)-ROW([1]PMDN!$T$2)+1)/
([1]PMDN!$H$2:$H$436=$A254),
COUNTIF($A$3:$A254,$A254)
)),
"")</f>
        <v>0</v>
      </c>
      <c r="E254" s="58" t="s">
        <v>128</v>
      </c>
      <c r="F254" s="5" cm="1">
        <f t="array" ref="F254">IFERROR(
INDEX([1]PMDN!$T$2:$T$436,
_xlfn.AGGREGATE(15,6,
(ROW([1]PMDN!$T$2:$T$436)-ROW([1]PMDN!$T$2)+1)/
([1]PMDN!$H$2:$H$436=$E254),
COUNTIF($E$3:$E254,$E254)
)),
"")</f>
        <v>0</v>
      </c>
      <c r="G254" s="73" t="str">
        <f t="shared" si="3"/>
        <v>UMK</v>
      </c>
    </row>
    <row r="255" spans="1:7" x14ac:dyDescent="0.35">
      <c r="A255" s="58" t="s">
        <v>128</v>
      </c>
      <c r="B255" s="5" cm="1">
        <f t="array" ref="B255">IFERROR(
INDEX([1]PMDN!$T$2:$T$436,
_xlfn.AGGREGATE(15,6,
(ROW([1]PMDN!$T$2:$T$436)-ROW([1]PMDN!$T$2)+1)/
([1]PMDN!$H$2:$H$436=$A255),
COUNTIF($A$3:$A255,$A255)
)),
"")</f>
        <v>0</v>
      </c>
      <c r="E255" s="58" t="s">
        <v>128</v>
      </c>
      <c r="F255" s="5" cm="1">
        <f t="array" ref="F255">IFERROR(
INDEX([1]PMDN!$T$2:$T$436,
_xlfn.AGGREGATE(15,6,
(ROW([1]PMDN!$T$2:$T$436)-ROW([1]PMDN!$T$2)+1)/
([1]PMDN!$H$2:$H$436=$E255),
COUNTIF($E$3:$E255,$E255)
)),
"")</f>
        <v>0</v>
      </c>
      <c r="G255" s="73" t="str">
        <f t="shared" si="3"/>
        <v>UMK</v>
      </c>
    </row>
    <row r="256" spans="1:7" x14ac:dyDescent="0.35">
      <c r="A256" s="58" t="s">
        <v>128</v>
      </c>
      <c r="B256" s="5" cm="1">
        <f t="array" ref="B256">IFERROR(
INDEX([1]PMDN!$T$2:$T$436,
_xlfn.AGGREGATE(15,6,
(ROW([1]PMDN!$T$2:$T$436)-ROW([1]PMDN!$T$2)+1)/
([1]PMDN!$H$2:$H$436=$A256),
COUNTIF($A$3:$A256,$A256)
)),
"")</f>
        <v>0</v>
      </c>
      <c r="E256" s="58" t="s">
        <v>128</v>
      </c>
      <c r="F256" s="5" cm="1">
        <f t="array" ref="F256">IFERROR(
INDEX([1]PMDN!$T$2:$T$436,
_xlfn.AGGREGATE(15,6,
(ROW([1]PMDN!$T$2:$T$436)-ROW([1]PMDN!$T$2)+1)/
([1]PMDN!$H$2:$H$436=$E256),
COUNTIF($E$3:$E256,$E256)
)),
"")</f>
        <v>0</v>
      </c>
      <c r="G256" s="73" t="str">
        <f t="shared" si="3"/>
        <v>UMK</v>
      </c>
    </row>
    <row r="257" spans="1:7" x14ac:dyDescent="0.35">
      <c r="A257" s="58" t="s">
        <v>232</v>
      </c>
      <c r="B257" s="5" cm="1">
        <f t="array" ref="B257">IFERROR(
INDEX([1]PMDN!$T$2:$T$436,
_xlfn.AGGREGATE(15,6,
(ROW([1]PMDN!$T$2:$T$436)-ROW([1]PMDN!$T$2)+1)/
([1]PMDN!$H$2:$H$436=$A257),
COUNTIF($A$3:$A257,$A257)
)),
"")</f>
        <v>9500000000</v>
      </c>
      <c r="E257" s="58" t="s">
        <v>232</v>
      </c>
      <c r="F257" s="5" cm="1">
        <f t="array" ref="F257">IFERROR(
INDEX([1]PMDN!$T$2:$T$436,
_xlfn.AGGREGATE(15,6,
(ROW([1]PMDN!$T$2:$T$436)-ROW([1]PMDN!$T$2)+1)/
([1]PMDN!$H$2:$H$436=$E257),
COUNTIF($E$3:$E257,$E257)
)),
"")</f>
        <v>9500000000</v>
      </c>
      <c r="G257" s="73" t="str">
        <f t="shared" si="3"/>
        <v>Non-UMK</v>
      </c>
    </row>
    <row r="258" spans="1:7" x14ac:dyDescent="0.35">
      <c r="A258" s="58" t="s">
        <v>129</v>
      </c>
      <c r="B258" s="5" cm="1">
        <f t="array" ref="B258">IFERROR(
INDEX([1]PMDN!$T$2:$T$436,
_xlfn.AGGREGATE(15,6,
(ROW([1]PMDN!$T$2:$T$436)-ROW([1]PMDN!$T$2)+1)/
([1]PMDN!$H$2:$H$436=$A258),
COUNTIF($A$3:$A258,$A258)
)),
"")</f>
        <v>859616628838</v>
      </c>
      <c r="E258" s="58" t="s">
        <v>129</v>
      </c>
      <c r="F258" s="5" cm="1">
        <f t="array" ref="F258">IFERROR(
INDEX([1]PMDN!$T$2:$T$436,
_xlfn.AGGREGATE(15,6,
(ROW([1]PMDN!$T$2:$T$436)-ROW([1]PMDN!$T$2)+1)/
([1]PMDN!$H$2:$H$436=$E258),
COUNTIF($E$3:$E258,$E258)
)),
"")</f>
        <v>859616628838</v>
      </c>
      <c r="G258" s="73" t="str">
        <f t="shared" si="3"/>
        <v>Non-UMK</v>
      </c>
    </row>
    <row r="259" spans="1:7" x14ac:dyDescent="0.35">
      <c r="A259" s="58" t="s">
        <v>101</v>
      </c>
      <c r="B259" s="5" cm="1">
        <f t="array" ref="B259">IFERROR(
INDEX([1]PMDN!$T$2:$T$436,
_xlfn.AGGREGATE(15,6,
(ROW([1]PMDN!$T$2:$T$436)-ROW([1]PMDN!$T$2)+1)/
([1]PMDN!$H$2:$H$436=$A259),
COUNTIF($A$3:$A259,$A259)
)),
"")</f>
        <v>0</v>
      </c>
      <c r="E259" s="58" t="s">
        <v>101</v>
      </c>
      <c r="F259" s="5" cm="1">
        <f t="array" ref="F259">IFERROR(
INDEX([1]PMDN!$T$2:$T$436,
_xlfn.AGGREGATE(15,6,
(ROW([1]PMDN!$T$2:$T$436)-ROW([1]PMDN!$T$2)+1)/
([1]PMDN!$H$2:$H$436=$E259),
COUNTIF($E$3:$E259,$E259)
)),
"")</f>
        <v>0</v>
      </c>
      <c r="G259" s="73" t="str">
        <f t="shared" si="3"/>
        <v>UMK</v>
      </c>
    </row>
    <row r="260" spans="1:7" x14ac:dyDescent="0.35">
      <c r="A260" s="58" t="s">
        <v>233</v>
      </c>
      <c r="B260" s="5" cm="1">
        <f t="array" ref="B260">IFERROR(
INDEX([1]PMDN!$T$2:$T$436,
_xlfn.AGGREGATE(15,6,
(ROW([1]PMDN!$T$2:$T$436)-ROW([1]PMDN!$T$2)+1)/
([1]PMDN!$H$2:$H$436=$A260),
COUNTIF($A$3:$A260,$A260)
)),
"")</f>
        <v>11199637341</v>
      </c>
      <c r="E260" s="58" t="s">
        <v>233</v>
      </c>
      <c r="F260" s="5" cm="1">
        <f t="array" ref="F260">IFERROR(
INDEX([1]PMDN!$T$2:$T$436,
_xlfn.AGGREGATE(15,6,
(ROW([1]PMDN!$T$2:$T$436)-ROW([1]PMDN!$T$2)+1)/
([1]PMDN!$H$2:$H$436=$E260),
COUNTIF($E$3:$E260,$E260)
)),
"")</f>
        <v>11199637341</v>
      </c>
      <c r="G260" s="73" t="str">
        <f t="shared" ref="G260:G323" si="4">IF(F260&lt;=5000000000,"UMK","Non-UMK")</f>
        <v>Non-UMK</v>
      </c>
    </row>
    <row r="261" spans="1:7" x14ac:dyDescent="0.35">
      <c r="A261" s="58" t="s">
        <v>233</v>
      </c>
      <c r="B261" s="5" cm="1">
        <f t="array" ref="B261">IFERROR(
INDEX([1]PMDN!$T$2:$T$436,
_xlfn.AGGREGATE(15,6,
(ROW([1]PMDN!$T$2:$T$436)-ROW([1]PMDN!$T$2)+1)/
([1]PMDN!$H$2:$H$436=$A261),
COUNTIF($A$3:$A261,$A261)
)),
"")</f>
        <v>0</v>
      </c>
      <c r="E261" s="58" t="s">
        <v>233</v>
      </c>
      <c r="F261" s="5" cm="1">
        <f t="array" ref="F261">IFERROR(
INDEX([1]PMDN!$T$2:$T$436,
_xlfn.AGGREGATE(15,6,
(ROW([1]PMDN!$T$2:$T$436)-ROW([1]PMDN!$T$2)+1)/
([1]PMDN!$H$2:$H$436=$E261),
COUNTIF($E$3:$E261,$E261)
)),
"")</f>
        <v>0</v>
      </c>
      <c r="G261" s="73" t="str">
        <f t="shared" si="4"/>
        <v>UMK</v>
      </c>
    </row>
    <row r="262" spans="1:7" x14ac:dyDescent="0.35">
      <c r="A262" s="58" t="s">
        <v>28</v>
      </c>
      <c r="B262" s="5" cm="1">
        <f t="array" ref="B262">IFERROR(
INDEX([1]PMDN!$T$2:$T$436,
_xlfn.AGGREGATE(15,6,
(ROW([1]PMDN!$T$2:$T$436)-ROW([1]PMDN!$T$2)+1)/
([1]PMDN!$H$2:$H$436=$A262),
COUNTIF($A$3:$A262,$A262)
)),
"")</f>
        <v>0</v>
      </c>
      <c r="E262" s="58" t="s">
        <v>28</v>
      </c>
      <c r="F262" s="5" cm="1">
        <f t="array" ref="F262">IFERROR(
INDEX([1]PMDN!$T$2:$T$436,
_xlfn.AGGREGATE(15,6,
(ROW([1]PMDN!$T$2:$T$436)-ROW([1]PMDN!$T$2)+1)/
([1]PMDN!$H$2:$H$436=$E262),
COUNTIF($E$3:$E262,$E262)
)),
"")</f>
        <v>0</v>
      </c>
      <c r="G262" s="73" t="str">
        <f t="shared" si="4"/>
        <v>UMK</v>
      </c>
    </row>
    <row r="263" spans="1:7" x14ac:dyDescent="0.35">
      <c r="A263" s="58" t="s">
        <v>28</v>
      </c>
      <c r="B263" s="5" cm="1">
        <f t="array" ref="B263">IFERROR(
INDEX([1]PMDN!$T$2:$T$436,
_xlfn.AGGREGATE(15,6,
(ROW([1]PMDN!$T$2:$T$436)-ROW([1]PMDN!$T$2)+1)/
([1]PMDN!$H$2:$H$436=$A263),
COUNTIF($A$3:$A263,$A263)
)),
"")</f>
        <v>0</v>
      </c>
      <c r="E263" s="58" t="s">
        <v>28</v>
      </c>
      <c r="F263" s="5" cm="1">
        <f t="array" ref="F263">IFERROR(
INDEX([1]PMDN!$T$2:$T$436,
_xlfn.AGGREGATE(15,6,
(ROW([1]PMDN!$T$2:$T$436)-ROW([1]PMDN!$T$2)+1)/
([1]PMDN!$H$2:$H$436=$E263),
COUNTIF($E$3:$E263,$E263)
)),
"")</f>
        <v>0</v>
      </c>
      <c r="G263" s="73" t="str">
        <f t="shared" si="4"/>
        <v>UMK</v>
      </c>
    </row>
    <row r="264" spans="1:7" x14ac:dyDescent="0.35">
      <c r="A264" s="58" t="s">
        <v>28</v>
      </c>
      <c r="B264" s="5" cm="1">
        <f t="array" ref="B264">IFERROR(
INDEX([1]PMDN!$T$2:$T$436,
_xlfn.AGGREGATE(15,6,
(ROW([1]PMDN!$T$2:$T$436)-ROW([1]PMDN!$T$2)+1)/
([1]PMDN!$H$2:$H$436=$A264),
COUNTIF($A$3:$A264,$A264)
)),
"")</f>
        <v>0</v>
      </c>
      <c r="E264" s="58" t="s">
        <v>28</v>
      </c>
      <c r="F264" s="5" cm="1">
        <f t="array" ref="F264">IFERROR(
INDEX([1]PMDN!$T$2:$T$436,
_xlfn.AGGREGATE(15,6,
(ROW([1]PMDN!$T$2:$T$436)-ROW([1]PMDN!$T$2)+1)/
([1]PMDN!$H$2:$H$436=$E264),
COUNTIF($E$3:$E264,$E264)
)),
"")</f>
        <v>0</v>
      </c>
      <c r="G264" s="73" t="str">
        <f t="shared" si="4"/>
        <v>UMK</v>
      </c>
    </row>
    <row r="265" spans="1:7" x14ac:dyDescent="0.35">
      <c r="A265" s="58" t="s">
        <v>28</v>
      </c>
      <c r="B265" s="5" cm="1">
        <f t="array" ref="B265">IFERROR(
INDEX([1]PMDN!$T$2:$T$436,
_xlfn.AGGREGATE(15,6,
(ROW([1]PMDN!$T$2:$T$436)-ROW([1]PMDN!$T$2)+1)/
([1]PMDN!$H$2:$H$436=$A265),
COUNTIF($A$3:$A265,$A265)
)),
"")</f>
        <v>0</v>
      </c>
      <c r="E265" s="58" t="s">
        <v>28</v>
      </c>
      <c r="F265" s="5" cm="1">
        <f t="array" ref="F265">IFERROR(
INDEX([1]PMDN!$T$2:$T$436,
_xlfn.AGGREGATE(15,6,
(ROW([1]PMDN!$T$2:$T$436)-ROW([1]PMDN!$T$2)+1)/
([1]PMDN!$H$2:$H$436=$E265),
COUNTIF($E$3:$E265,$E265)
)),
"")</f>
        <v>0</v>
      </c>
      <c r="G265" s="73" t="str">
        <f t="shared" si="4"/>
        <v>UMK</v>
      </c>
    </row>
    <row r="266" spans="1:7" x14ac:dyDescent="0.35">
      <c r="A266" s="58" t="s">
        <v>28</v>
      </c>
      <c r="B266" s="5" cm="1">
        <f t="array" ref="B266">IFERROR(
INDEX([1]PMDN!$T$2:$T$436,
_xlfn.AGGREGATE(15,6,
(ROW([1]PMDN!$T$2:$T$436)-ROW([1]PMDN!$T$2)+1)/
([1]PMDN!$H$2:$H$436=$A266),
COUNTIF($A$3:$A266,$A266)
)),
"")</f>
        <v>4650000000</v>
      </c>
      <c r="E266" s="58" t="s">
        <v>28</v>
      </c>
      <c r="F266" s="5" cm="1">
        <f t="array" ref="F266">IFERROR(
INDEX([1]PMDN!$T$2:$T$436,
_xlfn.AGGREGATE(15,6,
(ROW([1]PMDN!$T$2:$T$436)-ROW([1]PMDN!$T$2)+1)/
([1]PMDN!$H$2:$H$436=$E266),
COUNTIF($E$3:$E266,$E266)
)),
"")</f>
        <v>4650000000</v>
      </c>
      <c r="G266" s="73" t="str">
        <f t="shared" si="4"/>
        <v>UMK</v>
      </c>
    </row>
    <row r="267" spans="1:7" x14ac:dyDescent="0.35">
      <c r="A267" s="58" t="s">
        <v>29</v>
      </c>
      <c r="B267" s="5" cm="1">
        <f t="array" ref="B267">IFERROR(
INDEX([1]PMDN!$T$2:$T$436,
_xlfn.AGGREGATE(15,6,
(ROW([1]PMDN!$T$2:$T$436)-ROW([1]PMDN!$T$2)+1)/
([1]PMDN!$H$2:$H$436=$A267),
COUNTIF($A$3:$A267,$A267)
)),
"")</f>
        <v>16809133800</v>
      </c>
      <c r="E267" s="58" t="s">
        <v>29</v>
      </c>
      <c r="F267" s="5" cm="1">
        <f t="array" ref="F267">IFERROR(
INDEX([1]PMDN!$T$2:$T$436,
_xlfn.AGGREGATE(15,6,
(ROW([1]PMDN!$T$2:$T$436)-ROW([1]PMDN!$T$2)+1)/
([1]PMDN!$H$2:$H$436=$E267),
COUNTIF($E$3:$E267,$E267)
)),
"")</f>
        <v>16809133800</v>
      </c>
      <c r="G267" s="73" t="str">
        <f t="shared" si="4"/>
        <v>Non-UMK</v>
      </c>
    </row>
    <row r="268" spans="1:7" x14ac:dyDescent="0.35">
      <c r="A268" s="58" t="s">
        <v>29</v>
      </c>
      <c r="B268" s="5" cm="1">
        <f t="array" ref="B268">IFERROR(
INDEX([1]PMDN!$T$2:$T$436,
_xlfn.AGGREGATE(15,6,
(ROW([1]PMDN!$T$2:$T$436)-ROW([1]PMDN!$T$2)+1)/
([1]PMDN!$H$2:$H$436=$A268),
COUNTIF($A$3:$A268,$A268)
)),
"")</f>
        <v>0</v>
      </c>
      <c r="E268" s="58" t="s">
        <v>29</v>
      </c>
      <c r="F268" s="5" cm="1">
        <f t="array" ref="F268">IFERROR(
INDEX([1]PMDN!$T$2:$T$436,
_xlfn.AGGREGATE(15,6,
(ROW([1]PMDN!$T$2:$T$436)-ROW([1]PMDN!$T$2)+1)/
([1]PMDN!$H$2:$H$436=$E268),
COUNTIF($E$3:$E268,$E268)
)),
"")</f>
        <v>0</v>
      </c>
      <c r="G268" s="73" t="str">
        <f t="shared" si="4"/>
        <v>UMK</v>
      </c>
    </row>
    <row r="269" spans="1:7" x14ac:dyDescent="0.35">
      <c r="A269" s="58" t="s">
        <v>29</v>
      </c>
      <c r="B269" s="5" cm="1">
        <f t="array" ref="B269">IFERROR(
INDEX([1]PMDN!$T$2:$T$436,
_xlfn.AGGREGATE(15,6,
(ROW([1]PMDN!$T$2:$T$436)-ROW([1]PMDN!$T$2)+1)/
([1]PMDN!$H$2:$H$436=$A269),
COUNTIF($A$3:$A269,$A269)
)),
"")</f>
        <v>0</v>
      </c>
      <c r="E269" s="58" t="s">
        <v>29</v>
      </c>
      <c r="F269" s="5" cm="1">
        <f t="array" ref="F269">IFERROR(
INDEX([1]PMDN!$T$2:$T$436,
_xlfn.AGGREGATE(15,6,
(ROW([1]PMDN!$T$2:$T$436)-ROW([1]PMDN!$T$2)+1)/
([1]PMDN!$H$2:$H$436=$E269),
COUNTIF($E$3:$E269,$E269)
)),
"")</f>
        <v>0</v>
      </c>
      <c r="G269" s="73" t="str">
        <f t="shared" si="4"/>
        <v>UMK</v>
      </c>
    </row>
    <row r="270" spans="1:7" x14ac:dyDescent="0.35">
      <c r="A270" s="58" t="s">
        <v>29</v>
      </c>
      <c r="B270" s="5" cm="1">
        <f t="array" ref="B270">IFERROR(
INDEX([1]PMDN!$T$2:$T$436,
_xlfn.AGGREGATE(15,6,
(ROW([1]PMDN!$T$2:$T$436)-ROW([1]PMDN!$T$2)+1)/
([1]PMDN!$H$2:$H$436=$A270),
COUNTIF($A$3:$A270,$A270)
)),
"")</f>
        <v>0</v>
      </c>
      <c r="E270" s="58" t="s">
        <v>29</v>
      </c>
      <c r="F270" s="5" cm="1">
        <f t="array" ref="F270">IFERROR(
INDEX([1]PMDN!$T$2:$T$436,
_xlfn.AGGREGATE(15,6,
(ROW([1]PMDN!$T$2:$T$436)-ROW([1]PMDN!$T$2)+1)/
([1]PMDN!$H$2:$H$436=$E270),
COUNTIF($E$3:$E270,$E270)
)),
"")</f>
        <v>0</v>
      </c>
      <c r="G270" s="73" t="str">
        <f t="shared" si="4"/>
        <v>UMK</v>
      </c>
    </row>
    <row r="271" spans="1:7" x14ac:dyDescent="0.35">
      <c r="A271" s="58" t="s">
        <v>234</v>
      </c>
      <c r="B271" s="5" cm="1">
        <f t="array" ref="B271">IFERROR(
INDEX([1]PMDN!$T$2:$T$436,
_xlfn.AGGREGATE(15,6,
(ROW([1]PMDN!$T$2:$T$436)-ROW([1]PMDN!$T$2)+1)/
([1]PMDN!$H$2:$H$436=$A271),
COUNTIF($A$3:$A271,$A271)
)),
"")</f>
        <v>6901241500</v>
      </c>
      <c r="E271" s="58" t="s">
        <v>234</v>
      </c>
      <c r="F271" s="5" cm="1">
        <f t="array" ref="F271">IFERROR(
INDEX([1]PMDN!$T$2:$T$436,
_xlfn.AGGREGATE(15,6,
(ROW([1]PMDN!$T$2:$T$436)-ROW([1]PMDN!$T$2)+1)/
([1]PMDN!$H$2:$H$436=$E271),
COUNTIF($E$3:$E271,$E271)
)),
"")</f>
        <v>6901241500</v>
      </c>
      <c r="G271" s="73" t="str">
        <f t="shared" si="4"/>
        <v>Non-UMK</v>
      </c>
    </row>
    <row r="272" spans="1:7" x14ac:dyDescent="0.35">
      <c r="A272" s="58" t="s">
        <v>30</v>
      </c>
      <c r="B272" s="5" cm="1">
        <f t="array" ref="B272">IFERROR(
INDEX([1]PMDN!$T$2:$T$436,
_xlfn.AGGREGATE(15,6,
(ROW([1]PMDN!$T$2:$T$436)-ROW([1]PMDN!$T$2)+1)/
([1]PMDN!$H$2:$H$436=$A272),
COUNTIF($A$3:$A272,$A272)
)),
"")</f>
        <v>102245133</v>
      </c>
      <c r="E272" s="58" t="s">
        <v>30</v>
      </c>
      <c r="F272" s="5" cm="1">
        <f t="array" ref="F272">IFERROR(
INDEX([1]PMDN!$T$2:$T$436,
_xlfn.AGGREGATE(15,6,
(ROW([1]PMDN!$T$2:$T$436)-ROW([1]PMDN!$T$2)+1)/
([1]PMDN!$H$2:$H$436=$E272),
COUNTIF($E$3:$E272,$E272)
)),
"")</f>
        <v>102245133</v>
      </c>
      <c r="G272" s="73" t="str">
        <f t="shared" si="4"/>
        <v>UMK</v>
      </c>
    </row>
    <row r="273" spans="1:7" x14ac:dyDescent="0.35">
      <c r="A273" s="58" t="s">
        <v>32</v>
      </c>
      <c r="B273" s="5" cm="1">
        <f t="array" ref="B273">IFERROR(
INDEX([1]PMDN!$T$2:$T$436,
_xlfn.AGGREGATE(15,6,
(ROW([1]PMDN!$T$2:$T$436)-ROW([1]PMDN!$T$2)+1)/
([1]PMDN!$H$2:$H$436=$A273),
COUNTIF($A$3:$A273,$A273)
)),
"")</f>
        <v>500807667</v>
      </c>
      <c r="E273" s="58" t="s">
        <v>32</v>
      </c>
      <c r="F273" s="5" cm="1">
        <f t="array" ref="F273">IFERROR(
INDEX([1]PMDN!$T$2:$T$436,
_xlfn.AGGREGATE(15,6,
(ROW([1]PMDN!$T$2:$T$436)-ROW([1]PMDN!$T$2)+1)/
([1]PMDN!$H$2:$H$436=$E273),
COUNTIF($E$3:$E273,$E273)
)),
"")</f>
        <v>500807667</v>
      </c>
      <c r="G273" s="73" t="str">
        <f t="shared" si="4"/>
        <v>UMK</v>
      </c>
    </row>
    <row r="274" spans="1:7" x14ac:dyDescent="0.35">
      <c r="A274" s="58" t="s">
        <v>32</v>
      </c>
      <c r="B274" s="5" cm="1">
        <f t="array" ref="B274">IFERROR(
INDEX([1]PMDN!$T$2:$T$436,
_xlfn.AGGREGATE(15,6,
(ROW([1]PMDN!$T$2:$T$436)-ROW([1]PMDN!$T$2)+1)/
([1]PMDN!$H$2:$H$436=$A274),
COUNTIF($A$3:$A274,$A274)
)),
"")</f>
        <v>1956667</v>
      </c>
      <c r="E274" s="58" t="s">
        <v>32</v>
      </c>
      <c r="F274" s="5" cm="1">
        <f t="array" ref="F274">IFERROR(
INDEX([1]PMDN!$T$2:$T$436,
_xlfn.AGGREGATE(15,6,
(ROW([1]PMDN!$T$2:$T$436)-ROW([1]PMDN!$T$2)+1)/
([1]PMDN!$H$2:$H$436=$E274),
COUNTIF($E$3:$E274,$E274)
)),
"")</f>
        <v>1956667</v>
      </c>
      <c r="G274" s="73" t="str">
        <f t="shared" si="4"/>
        <v>UMK</v>
      </c>
    </row>
    <row r="275" spans="1:7" x14ac:dyDescent="0.35">
      <c r="A275" s="58" t="s">
        <v>32</v>
      </c>
      <c r="B275" s="5" cm="1">
        <f t="array" ref="B275">IFERROR(
INDEX([1]PMDN!$T$2:$T$436,
_xlfn.AGGREGATE(15,6,
(ROW([1]PMDN!$T$2:$T$436)-ROW([1]PMDN!$T$2)+1)/
([1]PMDN!$H$2:$H$436=$A275),
COUNTIF($A$3:$A275,$A275)
)),
"")</f>
        <v>1956667</v>
      </c>
      <c r="E275" s="58" t="s">
        <v>32</v>
      </c>
      <c r="F275" s="5" cm="1">
        <f t="array" ref="F275">IFERROR(
INDEX([1]PMDN!$T$2:$T$436,
_xlfn.AGGREGATE(15,6,
(ROW([1]PMDN!$T$2:$T$436)-ROW([1]PMDN!$T$2)+1)/
([1]PMDN!$H$2:$H$436=$E275),
COUNTIF($E$3:$E275,$E275)
)),
"")</f>
        <v>1956667</v>
      </c>
      <c r="G275" s="73" t="str">
        <f t="shared" si="4"/>
        <v>UMK</v>
      </c>
    </row>
    <row r="276" spans="1:7" x14ac:dyDescent="0.35">
      <c r="A276" s="58" t="s">
        <v>34</v>
      </c>
      <c r="B276" s="5" cm="1">
        <f t="array" ref="B276">IFERROR(
INDEX([1]PMDN!$T$2:$T$436,
_xlfn.AGGREGATE(15,6,
(ROW([1]PMDN!$T$2:$T$436)-ROW([1]PMDN!$T$2)+1)/
([1]PMDN!$H$2:$H$436=$A276),
COUNTIF($A$3:$A276,$A276)
)),
"")</f>
        <v>49969503141</v>
      </c>
      <c r="E276" s="58" t="s">
        <v>34</v>
      </c>
      <c r="F276" s="5" cm="1">
        <f t="array" ref="F276">IFERROR(
INDEX([1]PMDN!$T$2:$T$436,
_xlfn.AGGREGATE(15,6,
(ROW([1]PMDN!$T$2:$T$436)-ROW([1]PMDN!$T$2)+1)/
([1]PMDN!$H$2:$H$436=$E276),
COUNTIF($E$3:$E276,$E276)
)),
"")</f>
        <v>49969503141</v>
      </c>
      <c r="G276" s="73" t="str">
        <f t="shared" si="4"/>
        <v>Non-UMK</v>
      </c>
    </row>
    <row r="277" spans="1:7" x14ac:dyDescent="0.35">
      <c r="A277" s="58" t="s">
        <v>34</v>
      </c>
      <c r="B277" s="5" cm="1">
        <f t="array" ref="B277">IFERROR(
INDEX([1]PMDN!$T$2:$T$436,
_xlfn.AGGREGATE(15,6,
(ROW([1]PMDN!$T$2:$T$436)-ROW([1]PMDN!$T$2)+1)/
([1]PMDN!$H$2:$H$436=$A277),
COUNTIF($A$3:$A277,$A277)
)),
"")</f>
        <v>0</v>
      </c>
      <c r="E277" s="58" t="s">
        <v>34</v>
      </c>
      <c r="F277" s="5" cm="1">
        <f t="array" ref="F277">IFERROR(
INDEX([1]PMDN!$T$2:$T$436,
_xlfn.AGGREGATE(15,6,
(ROW([1]PMDN!$T$2:$T$436)-ROW([1]PMDN!$T$2)+1)/
([1]PMDN!$H$2:$H$436=$E277),
COUNTIF($E$3:$E277,$E277)
)),
"")</f>
        <v>0</v>
      </c>
      <c r="G277" s="73" t="str">
        <f t="shared" si="4"/>
        <v>UMK</v>
      </c>
    </row>
    <row r="278" spans="1:7" x14ac:dyDescent="0.35">
      <c r="A278" s="58" t="s">
        <v>34</v>
      </c>
      <c r="B278" s="5" cm="1">
        <f t="array" ref="B278">IFERROR(
INDEX([1]PMDN!$T$2:$T$436,
_xlfn.AGGREGATE(15,6,
(ROW([1]PMDN!$T$2:$T$436)-ROW([1]PMDN!$T$2)+1)/
([1]PMDN!$H$2:$H$436=$A278),
COUNTIF($A$3:$A278,$A278)
)),
"")</f>
        <v>0</v>
      </c>
      <c r="E278" s="58" t="s">
        <v>34</v>
      </c>
      <c r="F278" s="5" cm="1">
        <f t="array" ref="F278">IFERROR(
INDEX([1]PMDN!$T$2:$T$436,
_xlfn.AGGREGATE(15,6,
(ROW([1]PMDN!$T$2:$T$436)-ROW([1]PMDN!$T$2)+1)/
([1]PMDN!$H$2:$H$436=$E278),
COUNTIF($E$3:$E278,$E278)
)),
"")</f>
        <v>0</v>
      </c>
      <c r="G278" s="73" t="str">
        <f t="shared" si="4"/>
        <v>UMK</v>
      </c>
    </row>
    <row r="279" spans="1:7" x14ac:dyDescent="0.35">
      <c r="A279" s="58" t="s">
        <v>34</v>
      </c>
      <c r="B279" s="5" cm="1">
        <f t="array" ref="B279">IFERROR(
INDEX([1]PMDN!$T$2:$T$436,
_xlfn.AGGREGATE(15,6,
(ROW([1]PMDN!$T$2:$T$436)-ROW([1]PMDN!$T$2)+1)/
([1]PMDN!$H$2:$H$436=$A279),
COUNTIF($A$3:$A279,$A279)
)),
"")</f>
        <v>0</v>
      </c>
      <c r="E279" s="58" t="s">
        <v>34</v>
      </c>
      <c r="F279" s="5" cm="1">
        <f t="array" ref="F279">IFERROR(
INDEX([1]PMDN!$T$2:$T$436,
_xlfn.AGGREGATE(15,6,
(ROW([1]PMDN!$T$2:$T$436)-ROW([1]PMDN!$T$2)+1)/
([1]PMDN!$H$2:$H$436=$E279),
COUNTIF($E$3:$E279,$E279)
)),
"")</f>
        <v>0</v>
      </c>
      <c r="G279" s="73" t="str">
        <f t="shared" si="4"/>
        <v>UMK</v>
      </c>
    </row>
    <row r="280" spans="1:7" x14ac:dyDescent="0.35">
      <c r="A280" s="58" t="s">
        <v>34</v>
      </c>
      <c r="B280" s="5" cm="1">
        <f t="array" ref="B280">IFERROR(
INDEX([1]PMDN!$T$2:$T$436,
_xlfn.AGGREGATE(15,6,
(ROW([1]PMDN!$T$2:$T$436)-ROW([1]PMDN!$T$2)+1)/
([1]PMDN!$H$2:$H$436=$A280),
COUNTIF($A$3:$A280,$A280)
)),
"")</f>
        <v>0</v>
      </c>
      <c r="E280" s="58" t="s">
        <v>34</v>
      </c>
      <c r="F280" s="5" cm="1">
        <f t="array" ref="F280">IFERROR(
INDEX([1]PMDN!$T$2:$T$436,
_xlfn.AGGREGATE(15,6,
(ROW([1]PMDN!$T$2:$T$436)-ROW([1]PMDN!$T$2)+1)/
([1]PMDN!$H$2:$H$436=$E280),
COUNTIF($E$3:$E280,$E280)
)),
"")</f>
        <v>0</v>
      </c>
      <c r="G280" s="73" t="str">
        <f t="shared" si="4"/>
        <v>UMK</v>
      </c>
    </row>
    <row r="281" spans="1:7" x14ac:dyDescent="0.35">
      <c r="A281" s="58" t="s">
        <v>34</v>
      </c>
      <c r="B281" s="5" cm="1">
        <f t="array" ref="B281">IFERROR(
INDEX([1]PMDN!$T$2:$T$436,
_xlfn.AGGREGATE(15,6,
(ROW([1]PMDN!$T$2:$T$436)-ROW([1]PMDN!$T$2)+1)/
([1]PMDN!$H$2:$H$436=$A281),
COUNTIF($A$3:$A281,$A281)
)),
"")</f>
        <v>0</v>
      </c>
      <c r="E281" s="58" t="s">
        <v>34</v>
      </c>
      <c r="F281" s="5" cm="1">
        <f t="array" ref="F281">IFERROR(
INDEX([1]PMDN!$T$2:$T$436,
_xlfn.AGGREGATE(15,6,
(ROW([1]PMDN!$T$2:$T$436)-ROW([1]PMDN!$T$2)+1)/
([1]PMDN!$H$2:$H$436=$E281),
COUNTIF($E$3:$E281,$E281)
)),
"")</f>
        <v>0</v>
      </c>
      <c r="G281" s="73" t="str">
        <f t="shared" si="4"/>
        <v>UMK</v>
      </c>
    </row>
    <row r="282" spans="1:7" x14ac:dyDescent="0.35">
      <c r="A282" s="58" t="s">
        <v>34</v>
      </c>
      <c r="B282" s="5" cm="1">
        <f t="array" ref="B282">IFERROR(
INDEX([1]PMDN!$T$2:$T$436,
_xlfn.AGGREGATE(15,6,
(ROW([1]PMDN!$T$2:$T$436)-ROW([1]PMDN!$T$2)+1)/
([1]PMDN!$H$2:$H$436=$A282),
COUNTIF($A$3:$A282,$A282)
)),
"")</f>
        <v>0</v>
      </c>
      <c r="E282" s="58" t="s">
        <v>34</v>
      </c>
      <c r="F282" s="5" cm="1">
        <f t="array" ref="F282">IFERROR(
INDEX([1]PMDN!$T$2:$T$436,
_xlfn.AGGREGATE(15,6,
(ROW([1]PMDN!$T$2:$T$436)-ROW([1]PMDN!$T$2)+1)/
([1]PMDN!$H$2:$H$436=$E282),
COUNTIF($E$3:$E282,$E282)
)),
"")</f>
        <v>0</v>
      </c>
      <c r="G282" s="73" t="str">
        <f t="shared" si="4"/>
        <v>UMK</v>
      </c>
    </row>
    <row r="283" spans="1:7" x14ac:dyDescent="0.35">
      <c r="A283" s="58" t="s">
        <v>34</v>
      </c>
      <c r="B283" s="5" cm="1">
        <f t="array" ref="B283">IFERROR(
INDEX([1]PMDN!$T$2:$T$436,
_xlfn.AGGREGATE(15,6,
(ROW([1]PMDN!$T$2:$T$436)-ROW([1]PMDN!$T$2)+1)/
([1]PMDN!$H$2:$H$436=$A283),
COUNTIF($A$3:$A283,$A283)
)),
"")</f>
        <v>2713411838</v>
      </c>
      <c r="E283" s="58" t="s">
        <v>34</v>
      </c>
      <c r="F283" s="5" cm="1">
        <f t="array" ref="F283">IFERROR(
INDEX([1]PMDN!$T$2:$T$436,
_xlfn.AGGREGATE(15,6,
(ROW([1]PMDN!$T$2:$T$436)-ROW([1]PMDN!$T$2)+1)/
([1]PMDN!$H$2:$H$436=$E283),
COUNTIF($E$3:$E283,$E283)
)),
"")</f>
        <v>2713411838</v>
      </c>
      <c r="G283" s="73" t="str">
        <f t="shared" si="4"/>
        <v>UMK</v>
      </c>
    </row>
    <row r="284" spans="1:7" x14ac:dyDescent="0.35">
      <c r="A284" s="58" t="s">
        <v>64</v>
      </c>
      <c r="B284" s="5" cm="1">
        <f t="array" ref="B284">IFERROR(
INDEX([1]PMDN!$T$2:$T$436,
_xlfn.AGGREGATE(15,6,
(ROW([1]PMDN!$T$2:$T$436)-ROW([1]PMDN!$T$2)+1)/
([1]PMDN!$H$2:$H$436=$A284),
COUNTIF($A$3:$A284,$A284)
)),
"")</f>
        <v>95873637</v>
      </c>
      <c r="E284" s="58" t="s">
        <v>64</v>
      </c>
      <c r="F284" s="5" cm="1">
        <f t="array" ref="F284">IFERROR(
INDEX([1]PMDN!$T$2:$T$436,
_xlfn.AGGREGATE(15,6,
(ROW([1]PMDN!$T$2:$T$436)-ROW([1]PMDN!$T$2)+1)/
([1]PMDN!$H$2:$H$436=$E284),
COUNTIF($E$3:$E284,$E284)
)),
"")</f>
        <v>95873637</v>
      </c>
      <c r="G284" s="73" t="str">
        <f t="shared" si="4"/>
        <v>UMK</v>
      </c>
    </row>
    <row r="285" spans="1:7" x14ac:dyDescent="0.35">
      <c r="A285" s="58" t="s">
        <v>64</v>
      </c>
      <c r="B285" s="5" cm="1">
        <f t="array" ref="B285">IFERROR(
INDEX([1]PMDN!$T$2:$T$436,
_xlfn.AGGREGATE(15,6,
(ROW([1]PMDN!$T$2:$T$436)-ROW([1]PMDN!$T$2)+1)/
([1]PMDN!$H$2:$H$436=$A285),
COUNTIF($A$3:$A285,$A285)
)),
"")</f>
        <v>9124816</v>
      </c>
      <c r="E285" s="58" t="s">
        <v>64</v>
      </c>
      <c r="F285" s="5" cm="1">
        <f t="array" ref="F285">IFERROR(
INDEX([1]PMDN!$T$2:$T$436,
_xlfn.AGGREGATE(15,6,
(ROW([1]PMDN!$T$2:$T$436)-ROW([1]PMDN!$T$2)+1)/
([1]PMDN!$H$2:$H$436=$E285),
COUNTIF($E$3:$E285,$E285)
)),
"")</f>
        <v>9124816</v>
      </c>
      <c r="G285" s="73" t="str">
        <f t="shared" si="4"/>
        <v>UMK</v>
      </c>
    </row>
    <row r="286" spans="1:7" x14ac:dyDescent="0.35">
      <c r="A286" s="58" t="s">
        <v>64</v>
      </c>
      <c r="B286" s="5" cm="1">
        <f t="array" ref="B286">IFERROR(
INDEX([1]PMDN!$T$2:$T$436,
_xlfn.AGGREGATE(15,6,
(ROW([1]PMDN!$T$2:$T$436)-ROW([1]PMDN!$T$2)+1)/
([1]PMDN!$H$2:$H$436=$A286),
COUNTIF($A$3:$A286,$A286)
)),
"")</f>
        <v>2346756270</v>
      </c>
      <c r="E286" s="58" t="s">
        <v>64</v>
      </c>
      <c r="F286" s="5" cm="1">
        <f t="array" ref="F286">IFERROR(
INDEX([1]PMDN!$T$2:$T$436,
_xlfn.AGGREGATE(15,6,
(ROW([1]PMDN!$T$2:$T$436)-ROW([1]PMDN!$T$2)+1)/
([1]PMDN!$H$2:$H$436=$E286),
COUNTIF($E$3:$E286,$E286)
)),
"")</f>
        <v>2346756270</v>
      </c>
      <c r="G286" s="73" t="str">
        <f t="shared" si="4"/>
        <v>UMK</v>
      </c>
    </row>
    <row r="287" spans="1:7" x14ac:dyDescent="0.35">
      <c r="A287" s="58" t="s">
        <v>64</v>
      </c>
      <c r="B287" s="5" cm="1">
        <f t="array" ref="B287">IFERROR(
INDEX([1]PMDN!$T$2:$T$436,
_xlfn.AGGREGATE(15,6,
(ROW([1]PMDN!$T$2:$T$436)-ROW([1]PMDN!$T$2)+1)/
([1]PMDN!$H$2:$H$436=$A287),
COUNTIF($A$3:$A287,$A287)
)),
"")</f>
        <v>7087982</v>
      </c>
      <c r="E287" s="58" t="s">
        <v>64</v>
      </c>
      <c r="F287" s="5" cm="1">
        <f t="array" ref="F287">IFERROR(
INDEX([1]PMDN!$T$2:$T$436,
_xlfn.AGGREGATE(15,6,
(ROW([1]PMDN!$T$2:$T$436)-ROW([1]PMDN!$T$2)+1)/
([1]PMDN!$H$2:$H$436=$E287),
COUNTIF($E$3:$E287,$E287)
)),
"")</f>
        <v>7087982</v>
      </c>
      <c r="G287" s="73" t="str">
        <f t="shared" si="4"/>
        <v>UMK</v>
      </c>
    </row>
    <row r="288" spans="1:7" x14ac:dyDescent="0.35">
      <c r="A288" s="58" t="s">
        <v>68</v>
      </c>
      <c r="B288" s="5" cm="1">
        <f t="array" ref="B288">IFERROR(
INDEX([1]PMDN!$T$2:$T$436,
_xlfn.AGGREGATE(15,6,
(ROW([1]PMDN!$T$2:$T$436)-ROW([1]PMDN!$T$2)+1)/
([1]PMDN!$H$2:$H$436=$A288),
COUNTIF($A$3:$A288,$A288)
)),
"")</f>
        <v>47607999688</v>
      </c>
      <c r="E288" s="58" t="s">
        <v>68</v>
      </c>
      <c r="F288" s="5" cm="1">
        <f t="array" ref="F288">IFERROR(
INDEX([1]PMDN!$T$2:$T$436,
_xlfn.AGGREGATE(15,6,
(ROW([1]PMDN!$T$2:$T$436)-ROW([1]PMDN!$T$2)+1)/
([1]PMDN!$H$2:$H$436=$E288),
COUNTIF($E$3:$E288,$E288)
)),
"")</f>
        <v>47607999688</v>
      </c>
      <c r="G288" s="73" t="str">
        <f t="shared" si="4"/>
        <v>Non-UMK</v>
      </c>
    </row>
    <row r="289" spans="1:7" x14ac:dyDescent="0.35">
      <c r="A289" s="58" t="s">
        <v>68</v>
      </c>
      <c r="B289" s="5" cm="1">
        <f t="array" ref="B289">IFERROR(
INDEX([1]PMDN!$T$2:$T$436,
_xlfn.AGGREGATE(15,6,
(ROW([1]PMDN!$T$2:$T$436)-ROW([1]PMDN!$T$2)+1)/
([1]PMDN!$H$2:$H$436=$A289),
COUNTIF($A$3:$A289,$A289)
)),
"")</f>
        <v>8272727272</v>
      </c>
      <c r="E289" s="58" t="s">
        <v>68</v>
      </c>
      <c r="F289" s="5" cm="1">
        <f t="array" ref="F289">IFERROR(
INDEX([1]PMDN!$T$2:$T$436,
_xlfn.AGGREGATE(15,6,
(ROW([1]PMDN!$T$2:$T$436)-ROW([1]PMDN!$T$2)+1)/
([1]PMDN!$H$2:$H$436=$E289),
COUNTIF($E$3:$E289,$E289)
)),
"")</f>
        <v>8272727272</v>
      </c>
      <c r="G289" s="73" t="str">
        <f t="shared" si="4"/>
        <v>Non-UMK</v>
      </c>
    </row>
    <row r="290" spans="1:7" x14ac:dyDescent="0.35">
      <c r="A290" s="58" t="s">
        <v>68</v>
      </c>
      <c r="B290" s="5" cm="1">
        <f t="array" ref="B290">IFERROR(
INDEX([1]PMDN!$T$2:$T$436,
_xlfn.AGGREGATE(15,6,
(ROW([1]PMDN!$T$2:$T$436)-ROW([1]PMDN!$T$2)+1)/
([1]PMDN!$H$2:$H$436=$A290),
COUNTIF($A$3:$A290,$A290)
)),
"")</f>
        <v>37033478000</v>
      </c>
      <c r="E290" s="58" t="s">
        <v>68</v>
      </c>
      <c r="F290" s="5" cm="1">
        <f t="array" ref="F290">IFERROR(
INDEX([1]PMDN!$T$2:$T$436,
_xlfn.AGGREGATE(15,6,
(ROW([1]PMDN!$T$2:$T$436)-ROW([1]PMDN!$T$2)+1)/
([1]PMDN!$H$2:$H$436=$E290),
COUNTIF($E$3:$E290,$E290)
)),
"")</f>
        <v>37033478000</v>
      </c>
      <c r="G290" s="73" t="str">
        <f t="shared" si="4"/>
        <v>Non-UMK</v>
      </c>
    </row>
    <row r="291" spans="1:7" x14ac:dyDescent="0.35">
      <c r="A291" s="58" t="s">
        <v>72</v>
      </c>
      <c r="B291" s="5" cm="1">
        <f t="array" ref="B291">IFERROR(
INDEX([1]PMDN!$T$2:$T$436,
_xlfn.AGGREGATE(15,6,
(ROW([1]PMDN!$T$2:$T$436)-ROW([1]PMDN!$T$2)+1)/
([1]PMDN!$H$2:$H$436=$A291),
COUNTIF($A$3:$A291,$A291)
)),
"")</f>
        <v>276842667</v>
      </c>
      <c r="E291" s="58" t="s">
        <v>72</v>
      </c>
      <c r="F291" s="5" cm="1">
        <f t="array" ref="F291">IFERROR(
INDEX([1]PMDN!$T$2:$T$436,
_xlfn.AGGREGATE(15,6,
(ROW([1]PMDN!$T$2:$T$436)-ROW([1]PMDN!$T$2)+1)/
([1]PMDN!$H$2:$H$436=$E291),
COUNTIF($E$3:$E291,$E291)
)),
"")</f>
        <v>276842667</v>
      </c>
      <c r="G291" s="73" t="str">
        <f t="shared" si="4"/>
        <v>UMK</v>
      </c>
    </row>
    <row r="292" spans="1:7" x14ac:dyDescent="0.35">
      <c r="A292" s="58" t="s">
        <v>73</v>
      </c>
      <c r="B292" s="5" cm="1">
        <f t="array" ref="B292">IFERROR(
INDEX([1]PMDN!$T$2:$T$436,
_xlfn.AGGREGATE(15,6,
(ROW([1]PMDN!$T$2:$T$436)-ROW([1]PMDN!$T$2)+1)/
([1]PMDN!$H$2:$H$436=$A292),
COUNTIF($A$3:$A292,$A292)
)),
"")</f>
        <v>0</v>
      </c>
      <c r="E292" s="58" t="s">
        <v>73</v>
      </c>
      <c r="F292" s="5" cm="1">
        <f t="array" ref="F292">IFERROR(
INDEX([1]PMDN!$T$2:$T$436,
_xlfn.AGGREGATE(15,6,
(ROW([1]PMDN!$T$2:$T$436)-ROW([1]PMDN!$T$2)+1)/
([1]PMDN!$H$2:$H$436=$E292),
COUNTIF($E$3:$E292,$E292)
)),
"")</f>
        <v>0</v>
      </c>
      <c r="G292" s="73" t="str">
        <f t="shared" si="4"/>
        <v>UMK</v>
      </c>
    </row>
    <row r="293" spans="1:7" x14ac:dyDescent="0.35">
      <c r="A293" s="58" t="s">
        <v>235</v>
      </c>
      <c r="B293" s="5" cm="1">
        <f t="array" ref="B293">IFERROR(
INDEX([1]PMDN!$T$2:$T$436,
_xlfn.AGGREGATE(15,6,
(ROW([1]PMDN!$T$2:$T$436)-ROW([1]PMDN!$T$2)+1)/
([1]PMDN!$H$2:$H$436=$A293),
COUNTIF($A$3:$A293,$A293)
)),
"")</f>
        <v>0</v>
      </c>
      <c r="E293" s="58" t="s">
        <v>235</v>
      </c>
      <c r="F293" s="5" cm="1">
        <f t="array" ref="F293">IFERROR(
INDEX([1]PMDN!$T$2:$T$436,
_xlfn.AGGREGATE(15,6,
(ROW([1]PMDN!$T$2:$T$436)-ROW([1]PMDN!$T$2)+1)/
([1]PMDN!$H$2:$H$436=$E293),
COUNTIF($E$3:$E293,$E293)
)),
"")</f>
        <v>0</v>
      </c>
      <c r="G293" s="73" t="str">
        <f t="shared" si="4"/>
        <v>UMK</v>
      </c>
    </row>
    <row r="294" spans="1:7" x14ac:dyDescent="0.35">
      <c r="A294" s="58" t="s">
        <v>236</v>
      </c>
      <c r="B294" s="5" cm="1">
        <f t="array" ref="B294">IFERROR(
INDEX([1]PMDN!$T$2:$T$436,
_xlfn.AGGREGATE(15,6,
(ROW([1]PMDN!$T$2:$T$436)-ROW([1]PMDN!$T$2)+1)/
([1]PMDN!$H$2:$H$436=$A294),
COUNTIF($A$3:$A294,$A294)
)),
"")</f>
        <v>150750008</v>
      </c>
      <c r="E294" s="58" t="s">
        <v>236</v>
      </c>
      <c r="F294" s="5" cm="1">
        <f t="array" ref="F294">IFERROR(
INDEX([1]PMDN!$T$2:$T$436,
_xlfn.AGGREGATE(15,6,
(ROW([1]PMDN!$T$2:$T$436)-ROW([1]PMDN!$T$2)+1)/
([1]PMDN!$H$2:$H$436=$E294),
COUNTIF($E$3:$E294,$E294)
)),
"")</f>
        <v>150750008</v>
      </c>
      <c r="G294" s="73" t="str">
        <f t="shared" si="4"/>
        <v>UMK</v>
      </c>
    </row>
    <row r="295" spans="1:7" x14ac:dyDescent="0.35">
      <c r="A295" s="58" t="s">
        <v>236</v>
      </c>
      <c r="B295" s="5" cm="1">
        <f t="array" ref="B295">IFERROR(
INDEX([1]PMDN!$T$2:$T$436,
_xlfn.AGGREGATE(15,6,
(ROW([1]PMDN!$T$2:$T$436)-ROW([1]PMDN!$T$2)+1)/
([1]PMDN!$H$2:$H$436=$A295),
COUNTIF($A$3:$A295,$A295)
)),
"")</f>
        <v>150740780</v>
      </c>
      <c r="E295" s="58" t="s">
        <v>236</v>
      </c>
      <c r="F295" s="5" cm="1">
        <f t="array" ref="F295">IFERROR(
INDEX([1]PMDN!$T$2:$T$436,
_xlfn.AGGREGATE(15,6,
(ROW([1]PMDN!$T$2:$T$436)-ROW([1]PMDN!$T$2)+1)/
([1]PMDN!$H$2:$H$436=$E295),
COUNTIF($E$3:$E295,$E295)
)),
"")</f>
        <v>150740780</v>
      </c>
      <c r="G295" s="73" t="str">
        <f t="shared" si="4"/>
        <v>UMK</v>
      </c>
    </row>
    <row r="296" spans="1:7" x14ac:dyDescent="0.35">
      <c r="A296" s="58" t="s">
        <v>76</v>
      </c>
      <c r="B296" s="5" cm="1">
        <f t="array" ref="B296">IFERROR(
INDEX([1]PMDN!$T$2:$T$436,
_xlfn.AGGREGATE(15,6,
(ROW([1]PMDN!$T$2:$T$436)-ROW([1]PMDN!$T$2)+1)/
([1]PMDN!$H$2:$H$436=$A296),
COUNTIF($A$3:$A296,$A296)
)),
"")</f>
        <v>250000000</v>
      </c>
      <c r="E296" s="58" t="s">
        <v>76</v>
      </c>
      <c r="F296" s="5" cm="1">
        <f t="array" ref="F296">IFERROR(
INDEX([1]PMDN!$T$2:$T$436,
_xlfn.AGGREGATE(15,6,
(ROW([1]PMDN!$T$2:$T$436)-ROW([1]PMDN!$T$2)+1)/
([1]PMDN!$H$2:$H$436=$E296),
COUNTIF($E$3:$E296,$E296)
)),
"")</f>
        <v>250000000</v>
      </c>
      <c r="G296" s="73" t="str">
        <f t="shared" si="4"/>
        <v>UMK</v>
      </c>
    </row>
    <row r="297" spans="1:7" x14ac:dyDescent="0.35">
      <c r="A297" s="58" t="s">
        <v>237</v>
      </c>
      <c r="B297" s="5" cm="1">
        <f t="array" ref="B297">IFERROR(
INDEX([1]PMDN!$T$2:$T$436,
_xlfn.AGGREGATE(15,6,
(ROW([1]PMDN!$T$2:$T$436)-ROW([1]PMDN!$T$2)+1)/
([1]PMDN!$H$2:$H$436=$A297),
COUNTIF($A$3:$A297,$A297)
)),
"")</f>
        <v>0</v>
      </c>
      <c r="E297" s="58" t="s">
        <v>237</v>
      </c>
      <c r="F297" s="5" cm="1">
        <f t="array" ref="F297">IFERROR(
INDEX([1]PMDN!$T$2:$T$436,
_xlfn.AGGREGATE(15,6,
(ROW([1]PMDN!$T$2:$T$436)-ROW([1]PMDN!$T$2)+1)/
([1]PMDN!$H$2:$H$436=$E297),
COUNTIF($E$3:$E297,$E297)
)),
"")</f>
        <v>0</v>
      </c>
      <c r="G297" s="73" t="str">
        <f t="shared" si="4"/>
        <v>UMK</v>
      </c>
    </row>
    <row r="298" spans="1:7" x14ac:dyDescent="0.35">
      <c r="A298" s="58" t="s">
        <v>79</v>
      </c>
      <c r="B298" s="5" cm="1">
        <f t="array" ref="B298">IFERROR(
INDEX([1]PMDN!$T$2:$T$436,
_xlfn.AGGREGATE(15,6,
(ROW([1]PMDN!$T$2:$T$436)-ROW([1]PMDN!$T$2)+1)/
([1]PMDN!$H$2:$H$436=$A298),
COUNTIF($A$3:$A298,$A298)
)),
"")</f>
        <v>76109708923</v>
      </c>
      <c r="E298" s="58" t="s">
        <v>79</v>
      </c>
      <c r="F298" s="5" cm="1">
        <f t="array" ref="F298">IFERROR(
INDEX([1]PMDN!$T$2:$T$436,
_xlfn.AGGREGATE(15,6,
(ROW([1]PMDN!$T$2:$T$436)-ROW([1]PMDN!$T$2)+1)/
([1]PMDN!$H$2:$H$436=$E298),
COUNTIF($E$3:$E298,$E298)
)),
"")</f>
        <v>76109708923</v>
      </c>
      <c r="G298" s="73" t="str">
        <f t="shared" si="4"/>
        <v>Non-UMK</v>
      </c>
    </row>
    <row r="299" spans="1:7" x14ac:dyDescent="0.35">
      <c r="A299" s="58" t="s">
        <v>80</v>
      </c>
      <c r="B299" s="5" cm="1">
        <f t="array" ref="B299">IFERROR(
INDEX([1]PMDN!$T$2:$T$436,
_xlfn.AGGREGATE(15,6,
(ROW([1]PMDN!$T$2:$T$436)-ROW([1]PMDN!$T$2)+1)/
([1]PMDN!$H$2:$H$436=$A299),
COUNTIF($A$3:$A299,$A299)
)),
"")</f>
        <v>324412665136</v>
      </c>
      <c r="E299" s="58" t="s">
        <v>80</v>
      </c>
      <c r="F299" s="5" cm="1">
        <f t="array" ref="F299">IFERROR(
INDEX([1]PMDN!$T$2:$T$436,
_xlfn.AGGREGATE(15,6,
(ROW([1]PMDN!$T$2:$T$436)-ROW([1]PMDN!$T$2)+1)/
([1]PMDN!$H$2:$H$436=$E299),
COUNTIF($E$3:$E299,$E299)
)),
"")</f>
        <v>324412665136</v>
      </c>
      <c r="G299" s="73" t="str">
        <f t="shared" si="4"/>
        <v>Non-UMK</v>
      </c>
    </row>
    <row r="300" spans="1:7" x14ac:dyDescent="0.35">
      <c r="A300" s="58" t="s">
        <v>81</v>
      </c>
      <c r="B300" s="5" cm="1">
        <f t="array" ref="B300">IFERROR(
INDEX([1]PMDN!$T$2:$T$436,
_xlfn.AGGREGATE(15,6,
(ROW([1]PMDN!$T$2:$T$436)-ROW([1]PMDN!$T$2)+1)/
([1]PMDN!$H$2:$H$436=$A300),
COUNTIF($A$3:$A300,$A300)
)),
"")</f>
        <v>6946281374159</v>
      </c>
      <c r="E300" s="58" t="s">
        <v>81</v>
      </c>
      <c r="F300" s="5" cm="1">
        <f t="array" ref="F300">IFERROR(
INDEX([1]PMDN!$T$2:$T$436,
_xlfn.AGGREGATE(15,6,
(ROW([1]PMDN!$T$2:$T$436)-ROW([1]PMDN!$T$2)+1)/
([1]PMDN!$H$2:$H$436=$E300),
COUNTIF($E$3:$E300,$E300)
)),
"")</f>
        <v>6946281374159</v>
      </c>
      <c r="G300" s="73" t="str">
        <f t="shared" si="4"/>
        <v>Non-UMK</v>
      </c>
    </row>
    <row r="301" spans="1:7" x14ac:dyDescent="0.35">
      <c r="A301" s="58" t="s">
        <v>238</v>
      </c>
      <c r="B301" s="5" cm="1">
        <f t="array" ref="B301">IFERROR(
INDEX([1]PMDN!$T$2:$T$436,
_xlfn.AGGREGATE(15,6,
(ROW([1]PMDN!$T$2:$T$436)-ROW([1]PMDN!$T$2)+1)/
([1]PMDN!$H$2:$H$436=$A301),
COUNTIF($A$3:$A301,$A301)
)),
"")</f>
        <v>28240595699</v>
      </c>
      <c r="E301" s="58" t="s">
        <v>238</v>
      </c>
      <c r="F301" s="5" cm="1">
        <f t="array" ref="F301">IFERROR(
INDEX([1]PMDN!$T$2:$T$436,
_xlfn.AGGREGATE(15,6,
(ROW([1]PMDN!$T$2:$T$436)-ROW([1]PMDN!$T$2)+1)/
([1]PMDN!$H$2:$H$436=$E301),
COUNTIF($E$3:$E301,$E301)
)),
"")</f>
        <v>28240595699</v>
      </c>
      <c r="G301" s="73" t="str">
        <f t="shared" si="4"/>
        <v>Non-UMK</v>
      </c>
    </row>
    <row r="302" spans="1:7" x14ac:dyDescent="0.35">
      <c r="A302" s="58" t="s">
        <v>82</v>
      </c>
      <c r="B302" s="5" cm="1">
        <f t="array" ref="B302">IFERROR(
INDEX([1]PMDN!$T$2:$T$436,
_xlfn.AGGREGATE(15,6,
(ROW([1]PMDN!$T$2:$T$436)-ROW([1]PMDN!$T$2)+1)/
([1]PMDN!$H$2:$H$436=$A302),
COUNTIF($A$3:$A302,$A302)
)),
"")</f>
        <v>211799696739</v>
      </c>
      <c r="E302" s="58" t="s">
        <v>82</v>
      </c>
      <c r="F302" s="5" cm="1">
        <f t="array" ref="F302">IFERROR(
INDEX([1]PMDN!$T$2:$T$436,
_xlfn.AGGREGATE(15,6,
(ROW([1]PMDN!$T$2:$T$436)-ROW([1]PMDN!$T$2)+1)/
([1]PMDN!$H$2:$H$436=$E302),
COUNTIF($E$3:$E302,$E302)
)),
"")</f>
        <v>211799696739</v>
      </c>
      <c r="G302" s="73" t="str">
        <f t="shared" si="4"/>
        <v>Non-UMK</v>
      </c>
    </row>
    <row r="303" spans="1:7" x14ac:dyDescent="0.35">
      <c r="A303" s="58" t="s">
        <v>82</v>
      </c>
      <c r="B303" s="5" cm="1">
        <f t="array" ref="B303">IFERROR(
INDEX([1]PMDN!$T$2:$T$436,
_xlfn.AGGREGATE(15,6,
(ROW([1]PMDN!$T$2:$T$436)-ROW([1]PMDN!$T$2)+1)/
([1]PMDN!$H$2:$H$436=$A303),
COUNTIF($A$3:$A303,$A303)
)),
"")</f>
        <v>0</v>
      </c>
      <c r="E303" s="58" t="s">
        <v>82</v>
      </c>
      <c r="F303" s="5" cm="1">
        <f t="array" ref="F303">IFERROR(
INDEX([1]PMDN!$T$2:$T$436,
_xlfn.AGGREGATE(15,6,
(ROW([1]PMDN!$T$2:$T$436)-ROW([1]PMDN!$T$2)+1)/
([1]PMDN!$H$2:$H$436=$E303),
COUNTIF($E$3:$E303,$E303)
)),
"")</f>
        <v>0</v>
      </c>
      <c r="G303" s="73" t="str">
        <f t="shared" si="4"/>
        <v>UMK</v>
      </c>
    </row>
    <row r="304" spans="1:7" x14ac:dyDescent="0.35">
      <c r="A304" s="58" t="s">
        <v>82</v>
      </c>
      <c r="B304" s="5" cm="1">
        <f t="array" ref="B304">IFERROR(
INDEX([1]PMDN!$T$2:$T$436,
_xlfn.AGGREGATE(15,6,
(ROW([1]PMDN!$T$2:$T$436)-ROW([1]PMDN!$T$2)+1)/
([1]PMDN!$H$2:$H$436=$A304),
COUNTIF($A$3:$A304,$A304)
)),
"")</f>
        <v>3160838880</v>
      </c>
      <c r="E304" s="58" t="s">
        <v>82</v>
      </c>
      <c r="F304" s="5" cm="1">
        <f t="array" ref="F304">IFERROR(
INDEX([1]PMDN!$T$2:$T$436,
_xlfn.AGGREGATE(15,6,
(ROW([1]PMDN!$T$2:$T$436)-ROW([1]PMDN!$T$2)+1)/
([1]PMDN!$H$2:$H$436=$E304),
COUNTIF($E$3:$E304,$E304)
)),
"")</f>
        <v>3160838880</v>
      </c>
      <c r="G304" s="73" t="str">
        <f t="shared" si="4"/>
        <v>UMK</v>
      </c>
    </row>
    <row r="305" spans="1:7" x14ac:dyDescent="0.35">
      <c r="A305" s="58" t="s">
        <v>239</v>
      </c>
      <c r="B305" s="5" cm="1">
        <f t="array" ref="B305">IFERROR(
INDEX([1]PMDN!$T$2:$T$436,
_xlfn.AGGREGATE(15,6,
(ROW([1]PMDN!$T$2:$T$436)-ROW([1]PMDN!$T$2)+1)/
([1]PMDN!$H$2:$H$436=$A305),
COUNTIF($A$3:$A305,$A305)
)),
"")</f>
        <v>1250000000</v>
      </c>
      <c r="E305" s="58" t="s">
        <v>239</v>
      </c>
      <c r="F305" s="5" cm="1">
        <f t="array" ref="F305">IFERROR(
INDEX([1]PMDN!$T$2:$T$436,
_xlfn.AGGREGATE(15,6,
(ROW([1]PMDN!$T$2:$T$436)-ROW([1]PMDN!$T$2)+1)/
([1]PMDN!$H$2:$H$436=$E305),
COUNTIF($E$3:$E305,$E305)
)),
"")</f>
        <v>1250000000</v>
      </c>
      <c r="G305" s="73" t="str">
        <f t="shared" si="4"/>
        <v>UMK</v>
      </c>
    </row>
    <row r="306" spans="1:7" x14ac:dyDescent="0.35">
      <c r="A306" s="58" t="s">
        <v>87</v>
      </c>
      <c r="B306" s="5" cm="1">
        <f t="array" ref="B306">IFERROR(
INDEX([1]PMDN!$T$2:$T$436,
_xlfn.AGGREGATE(15,6,
(ROW([1]PMDN!$T$2:$T$436)-ROW([1]PMDN!$T$2)+1)/
([1]PMDN!$H$2:$H$436=$A306),
COUNTIF($A$3:$A306,$A306)
)),
"")</f>
        <v>65929318532</v>
      </c>
      <c r="E306" s="58" t="s">
        <v>87</v>
      </c>
      <c r="F306" s="5" cm="1">
        <f t="array" ref="F306">IFERROR(
INDEX([1]PMDN!$T$2:$T$436,
_xlfn.AGGREGATE(15,6,
(ROW([1]PMDN!$T$2:$T$436)-ROW([1]PMDN!$T$2)+1)/
([1]PMDN!$H$2:$H$436=$E306),
COUNTIF($E$3:$E306,$E306)
)),
"")</f>
        <v>65929318532</v>
      </c>
      <c r="G306" s="73" t="str">
        <f t="shared" si="4"/>
        <v>Non-UMK</v>
      </c>
    </row>
    <row r="307" spans="1:7" x14ac:dyDescent="0.35">
      <c r="A307" s="58" t="s">
        <v>240</v>
      </c>
      <c r="B307" s="5" cm="1">
        <f t="array" ref="B307">IFERROR(
INDEX([1]PMDN!$T$2:$T$436,
_xlfn.AGGREGATE(15,6,
(ROW([1]PMDN!$T$2:$T$436)-ROW([1]PMDN!$T$2)+1)/
([1]PMDN!$H$2:$H$436=$A307),
COUNTIF($A$3:$A307,$A307)
)),
"")</f>
        <v>3745875000</v>
      </c>
      <c r="E307" s="58" t="s">
        <v>240</v>
      </c>
      <c r="F307" s="5" cm="1">
        <f t="array" ref="F307">IFERROR(
INDEX([1]PMDN!$T$2:$T$436,
_xlfn.AGGREGATE(15,6,
(ROW([1]PMDN!$T$2:$T$436)-ROW([1]PMDN!$T$2)+1)/
([1]PMDN!$H$2:$H$436=$E307),
COUNTIF($E$3:$E307,$E307)
)),
"")</f>
        <v>3745875000</v>
      </c>
      <c r="G307" s="73" t="str">
        <f t="shared" si="4"/>
        <v>UMK</v>
      </c>
    </row>
    <row r="308" spans="1:7" x14ac:dyDescent="0.35">
      <c r="A308" s="58" t="s">
        <v>240</v>
      </c>
      <c r="B308" s="5" cm="1">
        <f t="array" ref="B308">IFERROR(
INDEX([1]PMDN!$T$2:$T$436,
_xlfn.AGGREGATE(15,6,
(ROW([1]PMDN!$T$2:$T$436)-ROW([1]PMDN!$T$2)+1)/
([1]PMDN!$H$2:$H$436=$A308),
COUNTIF($A$3:$A308,$A308)
)),
"")</f>
        <v>465000000</v>
      </c>
      <c r="E308" s="58" t="s">
        <v>240</v>
      </c>
      <c r="F308" s="5" cm="1">
        <f t="array" ref="F308">IFERROR(
INDEX([1]PMDN!$T$2:$T$436,
_xlfn.AGGREGATE(15,6,
(ROW([1]PMDN!$T$2:$T$436)-ROW([1]PMDN!$T$2)+1)/
([1]PMDN!$H$2:$H$436=$E308),
COUNTIF($E$3:$E308,$E308)
)),
"")</f>
        <v>465000000</v>
      </c>
      <c r="G308" s="73" t="str">
        <f t="shared" si="4"/>
        <v>UMK</v>
      </c>
    </row>
    <row r="309" spans="1:7" x14ac:dyDescent="0.35">
      <c r="A309" s="58" t="s">
        <v>240</v>
      </c>
      <c r="B309" s="5" cm="1">
        <f t="array" ref="B309">IFERROR(
INDEX([1]PMDN!$T$2:$T$436,
_xlfn.AGGREGATE(15,6,
(ROW([1]PMDN!$T$2:$T$436)-ROW([1]PMDN!$T$2)+1)/
([1]PMDN!$H$2:$H$436=$A309),
COUNTIF($A$3:$A309,$A309)
)),
"")</f>
        <v>353222000</v>
      </c>
      <c r="E309" s="58" t="s">
        <v>240</v>
      </c>
      <c r="F309" s="5" cm="1">
        <f t="array" ref="F309">IFERROR(
INDEX([1]PMDN!$T$2:$T$436,
_xlfn.AGGREGATE(15,6,
(ROW([1]PMDN!$T$2:$T$436)-ROW([1]PMDN!$T$2)+1)/
([1]PMDN!$H$2:$H$436=$E309),
COUNTIF($E$3:$E309,$E309)
)),
"")</f>
        <v>353222000</v>
      </c>
      <c r="G309" s="73" t="str">
        <f t="shared" si="4"/>
        <v>UMK</v>
      </c>
    </row>
    <row r="310" spans="1:7" x14ac:dyDescent="0.35">
      <c r="A310" s="58" t="s">
        <v>240</v>
      </c>
      <c r="B310" s="5" cm="1">
        <f t="array" ref="B310">IFERROR(
INDEX([1]PMDN!$T$2:$T$436,
_xlfn.AGGREGATE(15,6,
(ROW([1]PMDN!$T$2:$T$436)-ROW([1]PMDN!$T$2)+1)/
([1]PMDN!$H$2:$H$436=$A310),
COUNTIF($A$3:$A310,$A310)
)),
"")</f>
        <v>0</v>
      </c>
      <c r="E310" s="58" t="s">
        <v>240</v>
      </c>
      <c r="F310" s="5" cm="1">
        <f t="array" ref="F310">IFERROR(
INDEX([1]PMDN!$T$2:$T$436,
_xlfn.AGGREGATE(15,6,
(ROW([1]PMDN!$T$2:$T$436)-ROW([1]PMDN!$T$2)+1)/
([1]PMDN!$H$2:$H$436=$E310),
COUNTIF($E$3:$E310,$E310)
)),
"")</f>
        <v>0</v>
      </c>
      <c r="G310" s="73" t="str">
        <f t="shared" si="4"/>
        <v>UMK</v>
      </c>
    </row>
    <row r="311" spans="1:7" x14ac:dyDescent="0.35">
      <c r="A311" s="58" t="s">
        <v>240</v>
      </c>
      <c r="B311" s="5" cm="1">
        <f t="array" ref="B311">IFERROR(
INDEX([1]PMDN!$T$2:$T$436,
_xlfn.AGGREGATE(15,6,
(ROW([1]PMDN!$T$2:$T$436)-ROW([1]PMDN!$T$2)+1)/
([1]PMDN!$H$2:$H$436=$A311),
COUNTIF($A$3:$A311,$A311)
)),
"")</f>
        <v>0</v>
      </c>
      <c r="E311" s="58" t="s">
        <v>240</v>
      </c>
      <c r="F311" s="5" cm="1">
        <f t="array" ref="F311">IFERROR(
INDEX([1]PMDN!$T$2:$T$436,
_xlfn.AGGREGATE(15,6,
(ROW([1]PMDN!$T$2:$T$436)-ROW([1]PMDN!$T$2)+1)/
([1]PMDN!$H$2:$H$436=$E311),
COUNTIF($E$3:$E311,$E311)
)),
"")</f>
        <v>0</v>
      </c>
      <c r="G311" s="73" t="str">
        <f t="shared" si="4"/>
        <v>UMK</v>
      </c>
    </row>
    <row r="312" spans="1:7" x14ac:dyDescent="0.35">
      <c r="A312" s="58" t="s">
        <v>240</v>
      </c>
      <c r="B312" s="5" cm="1">
        <f t="array" ref="B312">IFERROR(
INDEX([1]PMDN!$T$2:$T$436,
_xlfn.AGGREGATE(15,6,
(ROW([1]PMDN!$T$2:$T$436)-ROW([1]PMDN!$T$2)+1)/
([1]PMDN!$H$2:$H$436=$A312),
COUNTIF($A$3:$A312,$A312)
)),
"")</f>
        <v>0</v>
      </c>
      <c r="E312" s="58" t="s">
        <v>240</v>
      </c>
      <c r="F312" s="5" cm="1">
        <f t="array" ref="F312">IFERROR(
INDEX([1]PMDN!$T$2:$T$436,
_xlfn.AGGREGATE(15,6,
(ROW([1]PMDN!$T$2:$T$436)-ROW([1]PMDN!$T$2)+1)/
([1]PMDN!$H$2:$H$436=$E312),
COUNTIF($E$3:$E312,$E312)
)),
"")</f>
        <v>0</v>
      </c>
      <c r="G312" s="73" t="str">
        <f t="shared" si="4"/>
        <v>UMK</v>
      </c>
    </row>
    <row r="313" spans="1:7" x14ac:dyDescent="0.35">
      <c r="A313" s="58" t="s">
        <v>240</v>
      </c>
      <c r="B313" s="5" cm="1">
        <f t="array" ref="B313">IFERROR(
INDEX([1]PMDN!$T$2:$T$436,
_xlfn.AGGREGATE(15,6,
(ROW([1]PMDN!$T$2:$T$436)-ROW([1]PMDN!$T$2)+1)/
([1]PMDN!$H$2:$H$436=$A313),
COUNTIF($A$3:$A313,$A313)
)),
"")</f>
        <v>0</v>
      </c>
      <c r="E313" s="58" t="s">
        <v>240</v>
      </c>
      <c r="F313" s="5" cm="1">
        <f t="array" ref="F313">IFERROR(
INDEX([1]PMDN!$T$2:$T$436,
_xlfn.AGGREGATE(15,6,
(ROW([1]PMDN!$T$2:$T$436)-ROW([1]PMDN!$T$2)+1)/
([1]PMDN!$H$2:$H$436=$E313),
COUNTIF($E$3:$E313,$E313)
)),
"")</f>
        <v>0</v>
      </c>
      <c r="G313" s="73" t="str">
        <f t="shared" si="4"/>
        <v>UMK</v>
      </c>
    </row>
    <row r="314" spans="1:7" x14ac:dyDescent="0.35">
      <c r="A314" s="58" t="s">
        <v>240</v>
      </c>
      <c r="B314" s="5" cm="1">
        <f t="array" ref="B314">IFERROR(
INDEX([1]PMDN!$T$2:$T$436,
_xlfn.AGGREGATE(15,6,
(ROW([1]PMDN!$T$2:$T$436)-ROW([1]PMDN!$T$2)+1)/
([1]PMDN!$H$2:$H$436=$A314),
COUNTIF($A$3:$A314,$A314)
)),
"")</f>
        <v>0</v>
      </c>
      <c r="E314" s="58" t="s">
        <v>240</v>
      </c>
      <c r="F314" s="5" cm="1">
        <f t="array" ref="F314">IFERROR(
INDEX([1]PMDN!$T$2:$T$436,
_xlfn.AGGREGATE(15,6,
(ROW([1]PMDN!$T$2:$T$436)-ROW([1]PMDN!$T$2)+1)/
([1]PMDN!$H$2:$H$436=$E314),
COUNTIF($E$3:$E314,$E314)
)),
"")</f>
        <v>0</v>
      </c>
      <c r="G314" s="73" t="str">
        <f t="shared" si="4"/>
        <v>UMK</v>
      </c>
    </row>
    <row r="315" spans="1:7" x14ac:dyDescent="0.35">
      <c r="A315" s="58" t="s">
        <v>240</v>
      </c>
      <c r="B315" s="5" cm="1">
        <f t="array" ref="B315">IFERROR(
INDEX([1]PMDN!$T$2:$T$436,
_xlfn.AGGREGATE(15,6,
(ROW([1]PMDN!$T$2:$T$436)-ROW([1]PMDN!$T$2)+1)/
([1]PMDN!$H$2:$H$436=$A315),
COUNTIF($A$3:$A315,$A315)
)),
"")</f>
        <v>0</v>
      </c>
      <c r="E315" s="58" t="s">
        <v>240</v>
      </c>
      <c r="F315" s="5" cm="1">
        <f t="array" ref="F315">IFERROR(
INDEX([1]PMDN!$T$2:$T$436,
_xlfn.AGGREGATE(15,6,
(ROW([1]PMDN!$T$2:$T$436)-ROW([1]PMDN!$T$2)+1)/
([1]PMDN!$H$2:$H$436=$E315),
COUNTIF($E$3:$E315,$E315)
)),
"")</f>
        <v>0</v>
      </c>
      <c r="G315" s="73" t="str">
        <f t="shared" si="4"/>
        <v>UMK</v>
      </c>
    </row>
    <row r="316" spans="1:7" x14ac:dyDescent="0.35">
      <c r="A316" s="58" t="s">
        <v>240</v>
      </c>
      <c r="B316" s="5" cm="1">
        <f t="array" ref="B316">IFERROR(
INDEX([1]PMDN!$T$2:$T$436,
_xlfn.AGGREGATE(15,6,
(ROW([1]PMDN!$T$2:$T$436)-ROW([1]PMDN!$T$2)+1)/
([1]PMDN!$H$2:$H$436=$A316),
COUNTIF($A$3:$A316,$A316)
)),
"")</f>
        <v>0</v>
      </c>
      <c r="E316" s="58" t="s">
        <v>240</v>
      </c>
      <c r="F316" s="5" cm="1">
        <f t="array" ref="F316">IFERROR(
INDEX([1]PMDN!$T$2:$T$436,
_xlfn.AGGREGATE(15,6,
(ROW([1]PMDN!$T$2:$T$436)-ROW([1]PMDN!$T$2)+1)/
([1]PMDN!$H$2:$H$436=$E316),
COUNTIF($E$3:$E316,$E316)
)),
"")</f>
        <v>0</v>
      </c>
      <c r="G316" s="73" t="str">
        <f t="shared" si="4"/>
        <v>UMK</v>
      </c>
    </row>
    <row r="317" spans="1:7" x14ac:dyDescent="0.35">
      <c r="A317" s="58" t="s">
        <v>240</v>
      </c>
      <c r="B317" s="5" cm="1">
        <f t="array" ref="B317">IFERROR(
INDEX([1]PMDN!$T$2:$T$436,
_xlfn.AGGREGATE(15,6,
(ROW([1]PMDN!$T$2:$T$436)-ROW([1]PMDN!$T$2)+1)/
([1]PMDN!$H$2:$H$436=$A317),
COUNTIF($A$3:$A317,$A317)
)),
"")</f>
        <v>0</v>
      </c>
      <c r="E317" s="58" t="s">
        <v>240</v>
      </c>
      <c r="F317" s="5" cm="1">
        <f t="array" ref="F317">IFERROR(
INDEX([1]PMDN!$T$2:$T$436,
_xlfn.AGGREGATE(15,6,
(ROW([1]PMDN!$T$2:$T$436)-ROW([1]PMDN!$T$2)+1)/
([1]PMDN!$H$2:$H$436=$E317),
COUNTIF($E$3:$E317,$E317)
)),
"")</f>
        <v>0</v>
      </c>
      <c r="G317" s="73" t="str">
        <f t="shared" si="4"/>
        <v>UMK</v>
      </c>
    </row>
    <row r="318" spans="1:7" x14ac:dyDescent="0.35">
      <c r="A318" s="58" t="s">
        <v>240</v>
      </c>
      <c r="B318" s="5" cm="1">
        <f t="array" ref="B318">IFERROR(
INDEX([1]PMDN!$T$2:$T$436,
_xlfn.AGGREGATE(15,6,
(ROW([1]PMDN!$T$2:$T$436)-ROW([1]PMDN!$T$2)+1)/
([1]PMDN!$H$2:$H$436=$A318),
COUNTIF($A$3:$A318,$A318)
)),
"")</f>
        <v>0</v>
      </c>
      <c r="E318" s="58" t="s">
        <v>240</v>
      </c>
      <c r="F318" s="5" cm="1">
        <f t="array" ref="F318">IFERROR(
INDEX([1]PMDN!$T$2:$T$436,
_xlfn.AGGREGATE(15,6,
(ROW([1]PMDN!$T$2:$T$436)-ROW([1]PMDN!$T$2)+1)/
([1]PMDN!$H$2:$H$436=$E318),
COUNTIF($E$3:$E318,$E318)
)),
"")</f>
        <v>0</v>
      </c>
      <c r="G318" s="73" t="str">
        <f t="shared" si="4"/>
        <v>UMK</v>
      </c>
    </row>
    <row r="319" spans="1:7" x14ac:dyDescent="0.35">
      <c r="A319" s="58" t="s">
        <v>240</v>
      </c>
      <c r="B319" s="5" cm="1">
        <f t="array" ref="B319">IFERROR(
INDEX([1]PMDN!$T$2:$T$436,
_xlfn.AGGREGATE(15,6,
(ROW([1]PMDN!$T$2:$T$436)-ROW([1]PMDN!$T$2)+1)/
([1]PMDN!$H$2:$H$436=$A319),
COUNTIF($A$3:$A319,$A319)
)),
"")</f>
        <v>0</v>
      </c>
      <c r="E319" s="58" t="s">
        <v>240</v>
      </c>
      <c r="F319" s="5" cm="1">
        <f t="array" ref="F319">IFERROR(
INDEX([1]PMDN!$T$2:$T$436,
_xlfn.AGGREGATE(15,6,
(ROW([1]PMDN!$T$2:$T$436)-ROW([1]PMDN!$T$2)+1)/
([1]PMDN!$H$2:$H$436=$E319),
COUNTIF($E$3:$E319,$E319)
)),
"")</f>
        <v>0</v>
      </c>
      <c r="G319" s="73" t="str">
        <f t="shared" si="4"/>
        <v>UMK</v>
      </c>
    </row>
    <row r="320" spans="1:7" x14ac:dyDescent="0.35">
      <c r="A320" s="58" t="s">
        <v>240</v>
      </c>
      <c r="B320" s="5" cm="1">
        <f t="array" ref="B320">IFERROR(
INDEX([1]PMDN!$T$2:$T$436,
_xlfn.AGGREGATE(15,6,
(ROW([1]PMDN!$T$2:$T$436)-ROW([1]PMDN!$T$2)+1)/
([1]PMDN!$H$2:$H$436=$A320),
COUNTIF($A$3:$A320,$A320)
)),
"")</f>
        <v>0</v>
      </c>
      <c r="E320" s="58" t="s">
        <v>240</v>
      </c>
      <c r="F320" s="5" cm="1">
        <f t="array" ref="F320">IFERROR(
INDEX([1]PMDN!$T$2:$T$436,
_xlfn.AGGREGATE(15,6,
(ROW([1]PMDN!$T$2:$T$436)-ROW([1]PMDN!$T$2)+1)/
([1]PMDN!$H$2:$H$436=$E320),
COUNTIF($E$3:$E320,$E320)
)),
"")</f>
        <v>0</v>
      </c>
      <c r="G320" s="73" t="str">
        <f t="shared" si="4"/>
        <v>UMK</v>
      </c>
    </row>
    <row r="321" spans="1:7" x14ac:dyDescent="0.35">
      <c r="A321" s="58" t="s">
        <v>240</v>
      </c>
      <c r="B321" s="5" cm="1">
        <f t="array" ref="B321">IFERROR(
INDEX([1]PMDN!$T$2:$T$436,
_xlfn.AGGREGATE(15,6,
(ROW([1]PMDN!$T$2:$T$436)-ROW([1]PMDN!$T$2)+1)/
([1]PMDN!$H$2:$H$436=$A321),
COUNTIF($A$3:$A321,$A321)
)),
"")</f>
        <v>0</v>
      </c>
      <c r="E321" s="58" t="s">
        <v>240</v>
      </c>
      <c r="F321" s="5" cm="1">
        <f t="array" ref="F321">IFERROR(
INDEX([1]PMDN!$T$2:$T$436,
_xlfn.AGGREGATE(15,6,
(ROW([1]PMDN!$T$2:$T$436)-ROW([1]PMDN!$T$2)+1)/
([1]PMDN!$H$2:$H$436=$E321),
COUNTIF($E$3:$E321,$E321)
)),
"")</f>
        <v>0</v>
      </c>
      <c r="G321" s="73" t="str">
        <f t="shared" si="4"/>
        <v>UMK</v>
      </c>
    </row>
    <row r="322" spans="1:7" x14ac:dyDescent="0.35">
      <c r="A322" s="58" t="s">
        <v>240</v>
      </c>
      <c r="B322" s="5" cm="1">
        <f t="array" ref="B322">IFERROR(
INDEX([1]PMDN!$T$2:$T$436,
_xlfn.AGGREGATE(15,6,
(ROW([1]PMDN!$T$2:$T$436)-ROW([1]PMDN!$T$2)+1)/
([1]PMDN!$H$2:$H$436=$A322),
COUNTIF($A$3:$A322,$A322)
)),
"")</f>
        <v>0</v>
      </c>
      <c r="E322" s="58" t="s">
        <v>240</v>
      </c>
      <c r="F322" s="5" cm="1">
        <f t="array" ref="F322">IFERROR(
INDEX([1]PMDN!$T$2:$T$436,
_xlfn.AGGREGATE(15,6,
(ROW([1]PMDN!$T$2:$T$436)-ROW([1]PMDN!$T$2)+1)/
([1]PMDN!$H$2:$H$436=$E322),
COUNTIF($E$3:$E322,$E322)
)),
"")</f>
        <v>0</v>
      </c>
      <c r="G322" s="73" t="str">
        <f t="shared" si="4"/>
        <v>UMK</v>
      </c>
    </row>
    <row r="323" spans="1:7" x14ac:dyDescent="0.35">
      <c r="A323" s="58" t="s">
        <v>240</v>
      </c>
      <c r="B323" s="5" cm="1">
        <f t="array" ref="B323">IFERROR(
INDEX([1]PMDN!$T$2:$T$436,
_xlfn.AGGREGATE(15,6,
(ROW([1]PMDN!$T$2:$T$436)-ROW([1]PMDN!$T$2)+1)/
([1]PMDN!$H$2:$H$436=$A323),
COUNTIF($A$3:$A323,$A323)
)),
"")</f>
        <v>0</v>
      </c>
      <c r="E323" s="58" t="s">
        <v>240</v>
      </c>
      <c r="F323" s="5" cm="1">
        <f t="array" ref="F323">IFERROR(
INDEX([1]PMDN!$T$2:$T$436,
_xlfn.AGGREGATE(15,6,
(ROW([1]PMDN!$T$2:$T$436)-ROW([1]PMDN!$T$2)+1)/
([1]PMDN!$H$2:$H$436=$E323),
COUNTIF($E$3:$E323,$E323)
)),
"")</f>
        <v>0</v>
      </c>
      <c r="G323" s="73" t="str">
        <f t="shared" si="4"/>
        <v>UMK</v>
      </c>
    </row>
    <row r="324" spans="1:7" x14ac:dyDescent="0.35">
      <c r="A324" s="58" t="s">
        <v>240</v>
      </c>
      <c r="B324" s="5" cm="1">
        <f t="array" ref="B324">IFERROR(
INDEX([1]PMDN!$T$2:$T$436,
_xlfn.AGGREGATE(15,6,
(ROW([1]PMDN!$T$2:$T$436)-ROW([1]PMDN!$T$2)+1)/
([1]PMDN!$H$2:$H$436=$A324),
COUNTIF($A$3:$A324,$A324)
)),
"")</f>
        <v>0</v>
      </c>
      <c r="E324" s="58" t="s">
        <v>240</v>
      </c>
      <c r="F324" s="5" cm="1">
        <f t="array" ref="F324">IFERROR(
INDEX([1]PMDN!$T$2:$T$436,
_xlfn.AGGREGATE(15,6,
(ROW([1]PMDN!$T$2:$T$436)-ROW([1]PMDN!$T$2)+1)/
([1]PMDN!$H$2:$H$436=$E324),
COUNTIF($E$3:$E324,$E324)
)),
"")</f>
        <v>0</v>
      </c>
      <c r="G324" s="73" t="str">
        <f t="shared" ref="G324:G387" si="5">IF(F324&lt;=5000000000,"UMK","Non-UMK")</f>
        <v>UMK</v>
      </c>
    </row>
    <row r="325" spans="1:7" x14ac:dyDescent="0.35">
      <c r="A325" s="58" t="s">
        <v>240</v>
      </c>
      <c r="B325" s="5" cm="1">
        <f t="array" ref="B325">IFERROR(
INDEX([1]PMDN!$T$2:$T$436,
_xlfn.AGGREGATE(15,6,
(ROW([1]PMDN!$T$2:$T$436)-ROW([1]PMDN!$T$2)+1)/
([1]PMDN!$H$2:$H$436=$A325),
COUNTIF($A$3:$A325,$A325)
)),
"")</f>
        <v>0</v>
      </c>
      <c r="E325" s="58" t="s">
        <v>240</v>
      </c>
      <c r="F325" s="5" cm="1">
        <f t="array" ref="F325">IFERROR(
INDEX([1]PMDN!$T$2:$T$436,
_xlfn.AGGREGATE(15,6,
(ROW([1]PMDN!$T$2:$T$436)-ROW([1]PMDN!$T$2)+1)/
([1]PMDN!$H$2:$H$436=$E325),
COUNTIF($E$3:$E325,$E325)
)),
"")</f>
        <v>0</v>
      </c>
      <c r="G325" s="73" t="str">
        <f t="shared" si="5"/>
        <v>UMK</v>
      </c>
    </row>
    <row r="326" spans="1:7" x14ac:dyDescent="0.35">
      <c r="A326" s="58" t="s">
        <v>240</v>
      </c>
      <c r="B326" s="5" cm="1">
        <f t="array" ref="B326">IFERROR(
INDEX([1]PMDN!$T$2:$T$436,
_xlfn.AGGREGATE(15,6,
(ROW([1]PMDN!$T$2:$T$436)-ROW([1]PMDN!$T$2)+1)/
([1]PMDN!$H$2:$H$436=$A326),
COUNTIF($A$3:$A326,$A326)
)),
"")</f>
        <v>0</v>
      </c>
      <c r="E326" s="58" t="s">
        <v>240</v>
      </c>
      <c r="F326" s="5" cm="1">
        <f t="array" ref="F326">IFERROR(
INDEX([1]PMDN!$T$2:$T$436,
_xlfn.AGGREGATE(15,6,
(ROW([1]PMDN!$T$2:$T$436)-ROW([1]PMDN!$T$2)+1)/
([1]PMDN!$H$2:$H$436=$E326),
COUNTIF($E$3:$E326,$E326)
)),
"")</f>
        <v>0</v>
      </c>
      <c r="G326" s="73" t="str">
        <f t="shared" si="5"/>
        <v>UMK</v>
      </c>
    </row>
    <row r="327" spans="1:7" x14ac:dyDescent="0.35">
      <c r="A327" s="58" t="s">
        <v>240</v>
      </c>
      <c r="B327" s="5" cm="1">
        <f t="array" ref="B327">IFERROR(
INDEX([1]PMDN!$T$2:$T$436,
_xlfn.AGGREGATE(15,6,
(ROW([1]PMDN!$T$2:$T$436)-ROW([1]PMDN!$T$2)+1)/
([1]PMDN!$H$2:$H$436=$A327),
COUNTIF($A$3:$A327,$A327)
)),
"")</f>
        <v>0</v>
      </c>
      <c r="E327" s="58" t="s">
        <v>240</v>
      </c>
      <c r="F327" s="5" cm="1">
        <f t="array" ref="F327">IFERROR(
INDEX([1]PMDN!$T$2:$T$436,
_xlfn.AGGREGATE(15,6,
(ROW([1]PMDN!$T$2:$T$436)-ROW([1]PMDN!$T$2)+1)/
([1]PMDN!$H$2:$H$436=$E327),
COUNTIF($E$3:$E327,$E327)
)),
"")</f>
        <v>0</v>
      </c>
      <c r="G327" s="73" t="str">
        <f t="shared" si="5"/>
        <v>UMK</v>
      </c>
    </row>
    <row r="328" spans="1:7" x14ac:dyDescent="0.35">
      <c r="A328" s="58" t="s">
        <v>240</v>
      </c>
      <c r="B328" s="5" cm="1">
        <f t="array" ref="B328">IFERROR(
INDEX([1]PMDN!$T$2:$T$436,
_xlfn.AGGREGATE(15,6,
(ROW([1]PMDN!$T$2:$T$436)-ROW([1]PMDN!$T$2)+1)/
([1]PMDN!$H$2:$H$436=$A328),
COUNTIF($A$3:$A328,$A328)
)),
"")</f>
        <v>0</v>
      </c>
      <c r="E328" s="58" t="s">
        <v>240</v>
      </c>
      <c r="F328" s="5" cm="1">
        <f t="array" ref="F328">IFERROR(
INDEX([1]PMDN!$T$2:$T$436,
_xlfn.AGGREGATE(15,6,
(ROW([1]PMDN!$T$2:$T$436)-ROW([1]PMDN!$T$2)+1)/
([1]PMDN!$H$2:$H$436=$E328),
COUNTIF($E$3:$E328,$E328)
)),
"")</f>
        <v>0</v>
      </c>
      <c r="G328" s="73" t="str">
        <f t="shared" si="5"/>
        <v>UMK</v>
      </c>
    </row>
    <row r="329" spans="1:7" x14ac:dyDescent="0.35">
      <c r="A329" s="58" t="s">
        <v>240</v>
      </c>
      <c r="B329" s="5" cm="1">
        <f t="array" ref="B329">IFERROR(
INDEX([1]PMDN!$T$2:$T$436,
_xlfn.AGGREGATE(15,6,
(ROW([1]PMDN!$T$2:$T$436)-ROW([1]PMDN!$T$2)+1)/
([1]PMDN!$H$2:$H$436=$A329),
COUNTIF($A$3:$A329,$A329)
)),
"")</f>
        <v>0</v>
      </c>
      <c r="E329" s="58" t="s">
        <v>240</v>
      </c>
      <c r="F329" s="5" cm="1">
        <f t="array" ref="F329">IFERROR(
INDEX([1]PMDN!$T$2:$T$436,
_xlfn.AGGREGATE(15,6,
(ROW([1]PMDN!$T$2:$T$436)-ROW([1]PMDN!$T$2)+1)/
([1]PMDN!$H$2:$H$436=$E329),
COUNTIF($E$3:$E329,$E329)
)),
"")</f>
        <v>0</v>
      </c>
      <c r="G329" s="73" t="str">
        <f t="shared" si="5"/>
        <v>UMK</v>
      </c>
    </row>
    <row r="330" spans="1:7" x14ac:dyDescent="0.35">
      <c r="A330" s="58" t="s">
        <v>240</v>
      </c>
      <c r="B330" s="5" cm="1">
        <f t="array" ref="B330">IFERROR(
INDEX([1]PMDN!$T$2:$T$436,
_xlfn.AGGREGATE(15,6,
(ROW([1]PMDN!$T$2:$T$436)-ROW([1]PMDN!$T$2)+1)/
([1]PMDN!$H$2:$H$436=$A330),
COUNTIF($A$3:$A330,$A330)
)),
"")</f>
        <v>0</v>
      </c>
      <c r="E330" s="58" t="s">
        <v>240</v>
      </c>
      <c r="F330" s="5" cm="1">
        <f t="array" ref="F330">IFERROR(
INDEX([1]PMDN!$T$2:$T$436,
_xlfn.AGGREGATE(15,6,
(ROW([1]PMDN!$T$2:$T$436)-ROW([1]PMDN!$T$2)+1)/
([1]PMDN!$H$2:$H$436=$E330),
COUNTIF($E$3:$E330,$E330)
)),
"")</f>
        <v>0</v>
      </c>
      <c r="G330" s="73" t="str">
        <f t="shared" si="5"/>
        <v>UMK</v>
      </c>
    </row>
    <row r="331" spans="1:7" x14ac:dyDescent="0.35">
      <c r="A331" s="58" t="s">
        <v>240</v>
      </c>
      <c r="B331" s="5" cm="1">
        <f t="array" ref="B331">IFERROR(
INDEX([1]PMDN!$T$2:$T$436,
_xlfn.AGGREGATE(15,6,
(ROW([1]PMDN!$T$2:$T$436)-ROW([1]PMDN!$T$2)+1)/
([1]PMDN!$H$2:$H$436=$A331),
COUNTIF($A$3:$A331,$A331)
)),
"")</f>
        <v>0</v>
      </c>
      <c r="E331" s="58" t="s">
        <v>240</v>
      </c>
      <c r="F331" s="5" cm="1">
        <f t="array" ref="F331">IFERROR(
INDEX([1]PMDN!$T$2:$T$436,
_xlfn.AGGREGATE(15,6,
(ROW([1]PMDN!$T$2:$T$436)-ROW([1]PMDN!$T$2)+1)/
([1]PMDN!$H$2:$H$436=$E331),
COUNTIF($E$3:$E331,$E331)
)),
"")</f>
        <v>0</v>
      </c>
      <c r="G331" s="73" t="str">
        <f t="shared" si="5"/>
        <v>UMK</v>
      </c>
    </row>
    <row r="332" spans="1:7" x14ac:dyDescent="0.35">
      <c r="A332" s="58" t="s">
        <v>240</v>
      </c>
      <c r="B332" s="5" cm="1">
        <f t="array" ref="B332">IFERROR(
INDEX([1]PMDN!$T$2:$T$436,
_xlfn.AGGREGATE(15,6,
(ROW([1]PMDN!$T$2:$T$436)-ROW([1]PMDN!$T$2)+1)/
([1]PMDN!$H$2:$H$436=$A332),
COUNTIF($A$3:$A332,$A332)
)),
"")</f>
        <v>0</v>
      </c>
      <c r="E332" s="58" t="s">
        <v>240</v>
      </c>
      <c r="F332" s="5" cm="1">
        <f t="array" ref="F332">IFERROR(
INDEX([1]PMDN!$T$2:$T$436,
_xlfn.AGGREGATE(15,6,
(ROW([1]PMDN!$T$2:$T$436)-ROW([1]PMDN!$T$2)+1)/
([1]PMDN!$H$2:$H$436=$E332),
COUNTIF($E$3:$E332,$E332)
)),
"")</f>
        <v>0</v>
      </c>
      <c r="G332" s="73" t="str">
        <f t="shared" si="5"/>
        <v>UMK</v>
      </c>
    </row>
    <row r="333" spans="1:7" x14ac:dyDescent="0.35">
      <c r="A333" s="58" t="s">
        <v>240</v>
      </c>
      <c r="B333" s="5" cm="1">
        <f t="array" ref="B333">IFERROR(
INDEX([1]PMDN!$T$2:$T$436,
_xlfn.AGGREGATE(15,6,
(ROW([1]PMDN!$T$2:$T$436)-ROW([1]PMDN!$T$2)+1)/
([1]PMDN!$H$2:$H$436=$A333),
COUNTIF($A$3:$A333,$A333)
)),
"")</f>
        <v>0</v>
      </c>
      <c r="E333" s="58" t="s">
        <v>240</v>
      </c>
      <c r="F333" s="5" cm="1">
        <f t="array" ref="F333">IFERROR(
INDEX([1]PMDN!$T$2:$T$436,
_xlfn.AGGREGATE(15,6,
(ROW([1]PMDN!$T$2:$T$436)-ROW([1]PMDN!$T$2)+1)/
([1]PMDN!$H$2:$H$436=$E333),
COUNTIF($E$3:$E333,$E333)
)),
"")</f>
        <v>0</v>
      </c>
      <c r="G333" s="73" t="str">
        <f t="shared" si="5"/>
        <v>UMK</v>
      </c>
    </row>
    <row r="334" spans="1:7" x14ac:dyDescent="0.35">
      <c r="A334" s="58" t="s">
        <v>240</v>
      </c>
      <c r="B334" s="5" cm="1">
        <f t="array" ref="B334">IFERROR(
INDEX([1]PMDN!$T$2:$T$436,
_xlfn.AGGREGATE(15,6,
(ROW([1]PMDN!$T$2:$T$436)-ROW([1]PMDN!$T$2)+1)/
([1]PMDN!$H$2:$H$436=$A334),
COUNTIF($A$3:$A334,$A334)
)),
"")</f>
        <v>0</v>
      </c>
      <c r="E334" s="58" t="s">
        <v>240</v>
      </c>
      <c r="F334" s="5" cm="1">
        <f t="array" ref="F334">IFERROR(
INDEX([1]PMDN!$T$2:$T$436,
_xlfn.AGGREGATE(15,6,
(ROW([1]PMDN!$T$2:$T$436)-ROW([1]PMDN!$T$2)+1)/
([1]PMDN!$H$2:$H$436=$E334),
COUNTIF($E$3:$E334,$E334)
)),
"")</f>
        <v>0</v>
      </c>
      <c r="G334" s="73" t="str">
        <f t="shared" si="5"/>
        <v>UMK</v>
      </c>
    </row>
    <row r="335" spans="1:7" x14ac:dyDescent="0.35">
      <c r="A335" s="58" t="s">
        <v>240</v>
      </c>
      <c r="B335" s="5" cm="1">
        <f t="array" ref="B335">IFERROR(
INDEX([1]PMDN!$T$2:$T$436,
_xlfn.AGGREGATE(15,6,
(ROW([1]PMDN!$T$2:$T$436)-ROW([1]PMDN!$T$2)+1)/
([1]PMDN!$H$2:$H$436=$A335),
COUNTIF($A$3:$A335,$A335)
)),
"")</f>
        <v>0</v>
      </c>
      <c r="E335" s="58" t="s">
        <v>240</v>
      </c>
      <c r="F335" s="5" cm="1">
        <f t="array" ref="F335">IFERROR(
INDEX([1]PMDN!$T$2:$T$436,
_xlfn.AGGREGATE(15,6,
(ROW([1]PMDN!$T$2:$T$436)-ROW([1]PMDN!$T$2)+1)/
([1]PMDN!$H$2:$H$436=$E335),
COUNTIF($E$3:$E335,$E335)
)),
"")</f>
        <v>0</v>
      </c>
      <c r="G335" s="73" t="str">
        <f t="shared" si="5"/>
        <v>UMK</v>
      </c>
    </row>
    <row r="336" spans="1:7" x14ac:dyDescent="0.35">
      <c r="A336" s="58" t="s">
        <v>240</v>
      </c>
      <c r="B336" s="5" cm="1">
        <f t="array" ref="B336">IFERROR(
INDEX([1]PMDN!$T$2:$T$436,
_xlfn.AGGREGATE(15,6,
(ROW([1]PMDN!$T$2:$T$436)-ROW([1]PMDN!$T$2)+1)/
([1]PMDN!$H$2:$H$436=$A336),
COUNTIF($A$3:$A336,$A336)
)),
"")</f>
        <v>0</v>
      </c>
      <c r="E336" s="58" t="s">
        <v>240</v>
      </c>
      <c r="F336" s="5" cm="1">
        <f t="array" ref="F336">IFERROR(
INDEX([1]PMDN!$T$2:$T$436,
_xlfn.AGGREGATE(15,6,
(ROW([1]PMDN!$T$2:$T$436)-ROW([1]PMDN!$T$2)+1)/
([1]PMDN!$H$2:$H$436=$E336),
COUNTIF($E$3:$E336,$E336)
)),
"")</f>
        <v>0</v>
      </c>
      <c r="G336" s="73" t="str">
        <f t="shared" si="5"/>
        <v>UMK</v>
      </c>
    </row>
    <row r="337" spans="1:7" x14ac:dyDescent="0.35">
      <c r="A337" s="58" t="s">
        <v>240</v>
      </c>
      <c r="B337" s="5" cm="1">
        <f t="array" ref="B337">IFERROR(
INDEX([1]PMDN!$T$2:$T$436,
_xlfn.AGGREGATE(15,6,
(ROW([1]PMDN!$T$2:$T$436)-ROW([1]PMDN!$T$2)+1)/
([1]PMDN!$H$2:$H$436=$A337),
COUNTIF($A$3:$A337,$A337)
)),
"")</f>
        <v>0</v>
      </c>
      <c r="E337" s="58" t="s">
        <v>240</v>
      </c>
      <c r="F337" s="5" cm="1">
        <f t="array" ref="F337">IFERROR(
INDEX([1]PMDN!$T$2:$T$436,
_xlfn.AGGREGATE(15,6,
(ROW([1]PMDN!$T$2:$T$436)-ROW([1]PMDN!$T$2)+1)/
([1]PMDN!$H$2:$H$436=$E337),
COUNTIF($E$3:$E337,$E337)
)),
"")</f>
        <v>0</v>
      </c>
      <c r="G337" s="73" t="str">
        <f t="shared" si="5"/>
        <v>UMK</v>
      </c>
    </row>
    <row r="338" spans="1:7" x14ac:dyDescent="0.35">
      <c r="A338" s="58" t="s">
        <v>240</v>
      </c>
      <c r="B338" s="5" cm="1">
        <f t="array" ref="B338">IFERROR(
INDEX([1]PMDN!$T$2:$T$436,
_xlfn.AGGREGATE(15,6,
(ROW([1]PMDN!$T$2:$T$436)-ROW([1]PMDN!$T$2)+1)/
([1]PMDN!$H$2:$H$436=$A338),
COUNTIF($A$3:$A338,$A338)
)),
"")</f>
        <v>0</v>
      </c>
      <c r="E338" s="58" t="s">
        <v>240</v>
      </c>
      <c r="F338" s="5" cm="1">
        <f t="array" ref="F338">IFERROR(
INDEX([1]PMDN!$T$2:$T$436,
_xlfn.AGGREGATE(15,6,
(ROW([1]PMDN!$T$2:$T$436)-ROW([1]PMDN!$T$2)+1)/
([1]PMDN!$H$2:$H$436=$E338),
COUNTIF($E$3:$E338,$E338)
)),
"")</f>
        <v>0</v>
      </c>
      <c r="G338" s="73" t="str">
        <f t="shared" si="5"/>
        <v>UMK</v>
      </c>
    </row>
    <row r="339" spans="1:7" x14ac:dyDescent="0.35">
      <c r="A339" s="58" t="s">
        <v>240</v>
      </c>
      <c r="B339" s="5" cm="1">
        <f t="array" ref="B339">IFERROR(
INDEX([1]PMDN!$T$2:$T$436,
_xlfn.AGGREGATE(15,6,
(ROW([1]PMDN!$T$2:$T$436)-ROW([1]PMDN!$T$2)+1)/
([1]PMDN!$H$2:$H$436=$A339),
COUNTIF($A$3:$A339,$A339)
)),
"")</f>
        <v>0</v>
      </c>
      <c r="E339" s="58" t="s">
        <v>240</v>
      </c>
      <c r="F339" s="5" cm="1">
        <f t="array" ref="F339">IFERROR(
INDEX([1]PMDN!$T$2:$T$436,
_xlfn.AGGREGATE(15,6,
(ROW([1]PMDN!$T$2:$T$436)-ROW([1]PMDN!$T$2)+1)/
([1]PMDN!$H$2:$H$436=$E339),
COUNTIF($E$3:$E339,$E339)
)),
"")</f>
        <v>0</v>
      </c>
      <c r="G339" s="73" t="str">
        <f t="shared" si="5"/>
        <v>UMK</v>
      </c>
    </row>
    <row r="340" spans="1:7" x14ac:dyDescent="0.35">
      <c r="A340" s="58" t="s">
        <v>240</v>
      </c>
      <c r="B340" s="5" cm="1">
        <f t="array" ref="B340">IFERROR(
INDEX([1]PMDN!$T$2:$T$436,
_xlfn.AGGREGATE(15,6,
(ROW([1]PMDN!$T$2:$T$436)-ROW([1]PMDN!$T$2)+1)/
([1]PMDN!$H$2:$H$436=$A340),
COUNTIF($A$3:$A340,$A340)
)),
"")</f>
        <v>0</v>
      </c>
      <c r="E340" s="58" t="s">
        <v>240</v>
      </c>
      <c r="F340" s="5" cm="1">
        <f t="array" ref="F340">IFERROR(
INDEX([1]PMDN!$T$2:$T$436,
_xlfn.AGGREGATE(15,6,
(ROW([1]PMDN!$T$2:$T$436)-ROW([1]PMDN!$T$2)+1)/
([1]PMDN!$H$2:$H$436=$E340),
COUNTIF($E$3:$E340,$E340)
)),
"")</f>
        <v>0</v>
      </c>
      <c r="G340" s="73" t="str">
        <f t="shared" si="5"/>
        <v>UMK</v>
      </c>
    </row>
    <row r="341" spans="1:7" x14ac:dyDescent="0.35">
      <c r="A341" s="58" t="s">
        <v>240</v>
      </c>
      <c r="B341" s="5" cm="1">
        <f t="array" ref="B341">IFERROR(
INDEX([1]PMDN!$T$2:$T$436,
_xlfn.AGGREGATE(15,6,
(ROW([1]PMDN!$T$2:$T$436)-ROW([1]PMDN!$T$2)+1)/
([1]PMDN!$H$2:$H$436=$A341),
COUNTIF($A$3:$A341,$A341)
)),
"")</f>
        <v>0</v>
      </c>
      <c r="E341" s="58" t="s">
        <v>240</v>
      </c>
      <c r="F341" s="5" cm="1">
        <f t="array" ref="F341">IFERROR(
INDEX([1]PMDN!$T$2:$T$436,
_xlfn.AGGREGATE(15,6,
(ROW([1]PMDN!$T$2:$T$436)-ROW([1]PMDN!$T$2)+1)/
([1]PMDN!$H$2:$H$436=$E341),
COUNTIF($E$3:$E341,$E341)
)),
"")</f>
        <v>0</v>
      </c>
      <c r="G341" s="73" t="str">
        <f t="shared" si="5"/>
        <v>UMK</v>
      </c>
    </row>
    <row r="342" spans="1:7" x14ac:dyDescent="0.35">
      <c r="A342" s="58" t="s">
        <v>240</v>
      </c>
      <c r="B342" s="5" cm="1">
        <f t="array" ref="B342">IFERROR(
INDEX([1]PMDN!$T$2:$T$436,
_xlfn.AGGREGATE(15,6,
(ROW([1]PMDN!$T$2:$T$436)-ROW([1]PMDN!$T$2)+1)/
([1]PMDN!$H$2:$H$436=$A342),
COUNTIF($A$3:$A342,$A342)
)),
"")</f>
        <v>0</v>
      </c>
      <c r="E342" s="58" t="s">
        <v>240</v>
      </c>
      <c r="F342" s="5" cm="1">
        <f t="array" ref="F342">IFERROR(
INDEX([1]PMDN!$T$2:$T$436,
_xlfn.AGGREGATE(15,6,
(ROW([1]PMDN!$T$2:$T$436)-ROW([1]PMDN!$T$2)+1)/
([1]PMDN!$H$2:$H$436=$E342),
COUNTIF($E$3:$E342,$E342)
)),
"")</f>
        <v>0</v>
      </c>
      <c r="G342" s="73" t="str">
        <f t="shared" si="5"/>
        <v>UMK</v>
      </c>
    </row>
    <row r="343" spans="1:7" x14ac:dyDescent="0.35">
      <c r="A343" s="58" t="s">
        <v>240</v>
      </c>
      <c r="B343" s="5" cm="1">
        <f t="array" ref="B343">IFERROR(
INDEX([1]PMDN!$T$2:$T$436,
_xlfn.AGGREGATE(15,6,
(ROW([1]PMDN!$T$2:$T$436)-ROW([1]PMDN!$T$2)+1)/
([1]PMDN!$H$2:$H$436=$A343),
COUNTIF($A$3:$A343,$A343)
)),
"")</f>
        <v>0</v>
      </c>
      <c r="E343" s="58" t="s">
        <v>240</v>
      </c>
      <c r="F343" s="5" cm="1">
        <f t="array" ref="F343">IFERROR(
INDEX([1]PMDN!$T$2:$T$436,
_xlfn.AGGREGATE(15,6,
(ROW([1]PMDN!$T$2:$T$436)-ROW([1]PMDN!$T$2)+1)/
([1]PMDN!$H$2:$H$436=$E343),
COUNTIF($E$3:$E343,$E343)
)),
"")</f>
        <v>0</v>
      </c>
      <c r="G343" s="73" t="str">
        <f t="shared" si="5"/>
        <v>UMK</v>
      </c>
    </row>
    <row r="344" spans="1:7" x14ac:dyDescent="0.35">
      <c r="A344" s="58" t="s">
        <v>240</v>
      </c>
      <c r="B344" s="5" cm="1">
        <f t="array" ref="B344">IFERROR(
INDEX([1]PMDN!$T$2:$T$436,
_xlfn.AGGREGATE(15,6,
(ROW([1]PMDN!$T$2:$T$436)-ROW([1]PMDN!$T$2)+1)/
([1]PMDN!$H$2:$H$436=$A344),
COUNTIF($A$3:$A344,$A344)
)),
"")</f>
        <v>0</v>
      </c>
      <c r="E344" s="58" t="s">
        <v>240</v>
      </c>
      <c r="F344" s="5" cm="1">
        <f t="array" ref="F344">IFERROR(
INDEX([1]PMDN!$T$2:$T$436,
_xlfn.AGGREGATE(15,6,
(ROW([1]PMDN!$T$2:$T$436)-ROW([1]PMDN!$T$2)+1)/
([1]PMDN!$H$2:$H$436=$E344),
COUNTIF($E$3:$E344,$E344)
)),
"")</f>
        <v>0</v>
      </c>
      <c r="G344" s="73" t="str">
        <f t="shared" si="5"/>
        <v>UMK</v>
      </c>
    </row>
    <row r="345" spans="1:7" x14ac:dyDescent="0.35">
      <c r="A345" s="58" t="s">
        <v>240</v>
      </c>
      <c r="B345" s="5" cm="1">
        <f t="array" ref="B345">IFERROR(
INDEX([1]PMDN!$T$2:$T$436,
_xlfn.AGGREGATE(15,6,
(ROW([1]PMDN!$T$2:$T$436)-ROW([1]PMDN!$T$2)+1)/
([1]PMDN!$H$2:$H$436=$A345),
COUNTIF($A$3:$A345,$A345)
)),
"")</f>
        <v>0</v>
      </c>
      <c r="E345" s="58" t="s">
        <v>240</v>
      </c>
      <c r="F345" s="5" cm="1">
        <f t="array" ref="F345">IFERROR(
INDEX([1]PMDN!$T$2:$T$436,
_xlfn.AGGREGATE(15,6,
(ROW([1]PMDN!$T$2:$T$436)-ROW([1]PMDN!$T$2)+1)/
([1]PMDN!$H$2:$H$436=$E345),
COUNTIF($E$3:$E345,$E345)
)),
"")</f>
        <v>0</v>
      </c>
      <c r="G345" s="73" t="str">
        <f t="shared" si="5"/>
        <v>UMK</v>
      </c>
    </row>
    <row r="346" spans="1:7" x14ac:dyDescent="0.35">
      <c r="A346" s="58" t="s">
        <v>240</v>
      </c>
      <c r="B346" s="5" cm="1">
        <f t="array" ref="B346">IFERROR(
INDEX([1]PMDN!$T$2:$T$436,
_xlfn.AGGREGATE(15,6,
(ROW([1]PMDN!$T$2:$T$436)-ROW([1]PMDN!$T$2)+1)/
([1]PMDN!$H$2:$H$436=$A346),
COUNTIF($A$3:$A346,$A346)
)),
"")</f>
        <v>0</v>
      </c>
      <c r="E346" s="58" t="s">
        <v>240</v>
      </c>
      <c r="F346" s="5" cm="1">
        <f t="array" ref="F346">IFERROR(
INDEX([1]PMDN!$T$2:$T$436,
_xlfn.AGGREGATE(15,6,
(ROW([1]PMDN!$T$2:$T$436)-ROW([1]PMDN!$T$2)+1)/
([1]PMDN!$H$2:$H$436=$E346),
COUNTIF($E$3:$E346,$E346)
)),
"")</f>
        <v>0</v>
      </c>
      <c r="G346" s="73" t="str">
        <f t="shared" si="5"/>
        <v>UMK</v>
      </c>
    </row>
    <row r="347" spans="1:7" x14ac:dyDescent="0.35">
      <c r="A347" s="58" t="s">
        <v>240</v>
      </c>
      <c r="B347" s="5" cm="1">
        <f t="array" ref="B347">IFERROR(
INDEX([1]PMDN!$T$2:$T$436,
_xlfn.AGGREGATE(15,6,
(ROW([1]PMDN!$T$2:$T$436)-ROW([1]PMDN!$T$2)+1)/
([1]PMDN!$H$2:$H$436=$A347),
COUNTIF($A$3:$A347,$A347)
)),
"")</f>
        <v>0</v>
      </c>
      <c r="E347" s="58" t="s">
        <v>240</v>
      </c>
      <c r="F347" s="5" cm="1">
        <f t="array" ref="F347">IFERROR(
INDEX([1]PMDN!$T$2:$T$436,
_xlfn.AGGREGATE(15,6,
(ROW([1]PMDN!$T$2:$T$436)-ROW([1]PMDN!$T$2)+1)/
([1]PMDN!$H$2:$H$436=$E347),
COUNTIF($E$3:$E347,$E347)
)),
"")</f>
        <v>0</v>
      </c>
      <c r="G347" s="73" t="str">
        <f t="shared" si="5"/>
        <v>UMK</v>
      </c>
    </row>
    <row r="348" spans="1:7" x14ac:dyDescent="0.35">
      <c r="A348" s="58" t="s">
        <v>240</v>
      </c>
      <c r="B348" s="5" cm="1">
        <f t="array" ref="B348">IFERROR(
INDEX([1]PMDN!$T$2:$T$436,
_xlfn.AGGREGATE(15,6,
(ROW([1]PMDN!$T$2:$T$436)-ROW([1]PMDN!$T$2)+1)/
([1]PMDN!$H$2:$H$436=$A348),
COUNTIF($A$3:$A348,$A348)
)),
"")</f>
        <v>0</v>
      </c>
      <c r="E348" s="58" t="s">
        <v>240</v>
      </c>
      <c r="F348" s="5" cm="1">
        <f t="array" ref="F348">IFERROR(
INDEX([1]PMDN!$T$2:$T$436,
_xlfn.AGGREGATE(15,6,
(ROW([1]PMDN!$T$2:$T$436)-ROW([1]PMDN!$T$2)+1)/
([1]PMDN!$H$2:$H$436=$E348),
COUNTIF($E$3:$E348,$E348)
)),
"")</f>
        <v>0</v>
      </c>
      <c r="G348" s="73" t="str">
        <f t="shared" si="5"/>
        <v>UMK</v>
      </c>
    </row>
    <row r="349" spans="1:7" x14ac:dyDescent="0.35">
      <c r="A349" s="58" t="s">
        <v>240</v>
      </c>
      <c r="B349" s="5" cm="1">
        <f t="array" ref="B349">IFERROR(
INDEX([1]PMDN!$T$2:$T$436,
_xlfn.AGGREGATE(15,6,
(ROW([1]PMDN!$T$2:$T$436)-ROW([1]PMDN!$T$2)+1)/
([1]PMDN!$H$2:$H$436=$A349),
COUNTIF($A$3:$A349,$A349)
)),
"")</f>
        <v>0</v>
      </c>
      <c r="E349" s="58" t="s">
        <v>240</v>
      </c>
      <c r="F349" s="5" cm="1">
        <f t="array" ref="F349">IFERROR(
INDEX([1]PMDN!$T$2:$T$436,
_xlfn.AGGREGATE(15,6,
(ROW([1]PMDN!$T$2:$T$436)-ROW([1]PMDN!$T$2)+1)/
([1]PMDN!$H$2:$H$436=$E349),
COUNTIF($E$3:$E349,$E349)
)),
"")</f>
        <v>0</v>
      </c>
      <c r="G349" s="73" t="str">
        <f t="shared" si="5"/>
        <v>UMK</v>
      </c>
    </row>
    <row r="350" spans="1:7" x14ac:dyDescent="0.35">
      <c r="A350" s="58" t="s">
        <v>240</v>
      </c>
      <c r="B350" s="5" cm="1">
        <f t="array" ref="B350">IFERROR(
INDEX([1]PMDN!$T$2:$T$436,
_xlfn.AGGREGATE(15,6,
(ROW([1]PMDN!$T$2:$T$436)-ROW([1]PMDN!$T$2)+1)/
([1]PMDN!$H$2:$H$436=$A350),
COUNTIF($A$3:$A350,$A350)
)),
"")</f>
        <v>0</v>
      </c>
      <c r="E350" s="58" t="s">
        <v>240</v>
      </c>
      <c r="F350" s="5" cm="1">
        <f t="array" ref="F350">IFERROR(
INDEX([1]PMDN!$T$2:$T$436,
_xlfn.AGGREGATE(15,6,
(ROW([1]PMDN!$T$2:$T$436)-ROW([1]PMDN!$T$2)+1)/
([1]PMDN!$H$2:$H$436=$E350),
COUNTIF($E$3:$E350,$E350)
)),
"")</f>
        <v>0</v>
      </c>
      <c r="G350" s="73" t="str">
        <f t="shared" si="5"/>
        <v>UMK</v>
      </c>
    </row>
    <row r="351" spans="1:7" x14ac:dyDescent="0.35">
      <c r="A351" s="58" t="s">
        <v>240</v>
      </c>
      <c r="B351" s="5" cm="1">
        <f t="array" ref="B351">IFERROR(
INDEX([1]PMDN!$T$2:$T$436,
_xlfn.AGGREGATE(15,6,
(ROW([1]PMDN!$T$2:$T$436)-ROW([1]PMDN!$T$2)+1)/
([1]PMDN!$H$2:$H$436=$A351),
COUNTIF($A$3:$A351,$A351)
)),
"")</f>
        <v>0</v>
      </c>
      <c r="E351" s="58" t="s">
        <v>240</v>
      </c>
      <c r="F351" s="5" cm="1">
        <f t="array" ref="F351">IFERROR(
INDEX([1]PMDN!$T$2:$T$436,
_xlfn.AGGREGATE(15,6,
(ROW([1]PMDN!$T$2:$T$436)-ROW([1]PMDN!$T$2)+1)/
([1]PMDN!$H$2:$H$436=$E351),
COUNTIF($E$3:$E351,$E351)
)),
"")</f>
        <v>0</v>
      </c>
      <c r="G351" s="73" t="str">
        <f t="shared" si="5"/>
        <v>UMK</v>
      </c>
    </row>
    <row r="352" spans="1:7" x14ac:dyDescent="0.35">
      <c r="A352" s="58" t="s">
        <v>240</v>
      </c>
      <c r="B352" s="5" cm="1">
        <f t="array" ref="B352">IFERROR(
INDEX([1]PMDN!$T$2:$T$436,
_xlfn.AGGREGATE(15,6,
(ROW([1]PMDN!$T$2:$T$436)-ROW([1]PMDN!$T$2)+1)/
([1]PMDN!$H$2:$H$436=$A352),
COUNTIF($A$3:$A352,$A352)
)),
"")</f>
        <v>0</v>
      </c>
      <c r="E352" s="58" t="s">
        <v>240</v>
      </c>
      <c r="F352" s="5" cm="1">
        <f t="array" ref="F352">IFERROR(
INDEX([1]PMDN!$T$2:$T$436,
_xlfn.AGGREGATE(15,6,
(ROW([1]PMDN!$T$2:$T$436)-ROW([1]PMDN!$T$2)+1)/
([1]PMDN!$H$2:$H$436=$E352),
COUNTIF($E$3:$E352,$E352)
)),
"")</f>
        <v>0</v>
      </c>
      <c r="G352" s="73" t="str">
        <f t="shared" si="5"/>
        <v>UMK</v>
      </c>
    </row>
    <row r="353" spans="1:7" x14ac:dyDescent="0.35">
      <c r="A353" s="58" t="s">
        <v>240</v>
      </c>
      <c r="B353" s="5" cm="1">
        <f t="array" ref="B353">IFERROR(
INDEX([1]PMDN!$T$2:$T$436,
_xlfn.AGGREGATE(15,6,
(ROW([1]PMDN!$T$2:$T$436)-ROW([1]PMDN!$T$2)+1)/
([1]PMDN!$H$2:$H$436=$A353),
COUNTIF($A$3:$A353,$A353)
)),
"")</f>
        <v>0</v>
      </c>
      <c r="E353" s="58" t="s">
        <v>240</v>
      </c>
      <c r="F353" s="5" cm="1">
        <f t="array" ref="F353">IFERROR(
INDEX([1]PMDN!$T$2:$T$436,
_xlfn.AGGREGATE(15,6,
(ROW([1]PMDN!$T$2:$T$436)-ROW([1]PMDN!$T$2)+1)/
([1]PMDN!$H$2:$H$436=$E353),
COUNTIF($E$3:$E353,$E353)
)),
"")</f>
        <v>0</v>
      </c>
      <c r="G353" s="73" t="str">
        <f t="shared" si="5"/>
        <v>UMK</v>
      </c>
    </row>
    <row r="354" spans="1:7" x14ac:dyDescent="0.35">
      <c r="A354" s="58" t="s">
        <v>240</v>
      </c>
      <c r="B354" s="5" cm="1">
        <f t="array" ref="B354">IFERROR(
INDEX([1]PMDN!$T$2:$T$436,
_xlfn.AGGREGATE(15,6,
(ROW([1]PMDN!$T$2:$T$436)-ROW([1]PMDN!$T$2)+1)/
([1]PMDN!$H$2:$H$436=$A354),
COUNTIF($A$3:$A354,$A354)
)),
"")</f>
        <v>0</v>
      </c>
      <c r="E354" s="58" t="s">
        <v>240</v>
      </c>
      <c r="F354" s="5" cm="1">
        <f t="array" ref="F354">IFERROR(
INDEX([1]PMDN!$T$2:$T$436,
_xlfn.AGGREGATE(15,6,
(ROW([1]PMDN!$T$2:$T$436)-ROW([1]PMDN!$T$2)+1)/
([1]PMDN!$H$2:$H$436=$E354),
COUNTIF($E$3:$E354,$E354)
)),
"")</f>
        <v>0</v>
      </c>
      <c r="G354" s="73" t="str">
        <f t="shared" si="5"/>
        <v>UMK</v>
      </c>
    </row>
    <row r="355" spans="1:7" x14ac:dyDescent="0.35">
      <c r="A355" s="58" t="s">
        <v>240</v>
      </c>
      <c r="B355" s="5" cm="1">
        <f t="array" ref="B355">IFERROR(
INDEX([1]PMDN!$T$2:$T$436,
_xlfn.AGGREGATE(15,6,
(ROW([1]PMDN!$T$2:$T$436)-ROW([1]PMDN!$T$2)+1)/
([1]PMDN!$H$2:$H$436=$A355),
COUNTIF($A$3:$A355,$A355)
)),
"")</f>
        <v>0</v>
      </c>
      <c r="E355" s="58" t="s">
        <v>240</v>
      </c>
      <c r="F355" s="5" cm="1">
        <f t="array" ref="F355">IFERROR(
INDEX([1]PMDN!$T$2:$T$436,
_xlfn.AGGREGATE(15,6,
(ROW([1]PMDN!$T$2:$T$436)-ROW([1]PMDN!$T$2)+1)/
([1]PMDN!$H$2:$H$436=$E355),
COUNTIF($E$3:$E355,$E355)
)),
"")</f>
        <v>0</v>
      </c>
      <c r="G355" s="73" t="str">
        <f t="shared" si="5"/>
        <v>UMK</v>
      </c>
    </row>
    <row r="356" spans="1:7" x14ac:dyDescent="0.35">
      <c r="A356" s="58" t="s">
        <v>240</v>
      </c>
      <c r="B356" s="5" cm="1">
        <f t="array" ref="B356">IFERROR(
INDEX([1]PMDN!$T$2:$T$436,
_xlfn.AGGREGATE(15,6,
(ROW([1]PMDN!$T$2:$T$436)-ROW([1]PMDN!$T$2)+1)/
([1]PMDN!$H$2:$H$436=$A356),
COUNTIF($A$3:$A356,$A356)
)),
"")</f>
        <v>0</v>
      </c>
      <c r="E356" s="58" t="s">
        <v>240</v>
      </c>
      <c r="F356" s="5" cm="1">
        <f t="array" ref="F356">IFERROR(
INDEX([1]PMDN!$T$2:$T$436,
_xlfn.AGGREGATE(15,6,
(ROW([1]PMDN!$T$2:$T$436)-ROW([1]PMDN!$T$2)+1)/
([1]PMDN!$H$2:$H$436=$E356),
COUNTIF($E$3:$E356,$E356)
)),
"")</f>
        <v>0</v>
      </c>
      <c r="G356" s="73" t="str">
        <f t="shared" si="5"/>
        <v>UMK</v>
      </c>
    </row>
    <row r="357" spans="1:7" x14ac:dyDescent="0.35">
      <c r="A357" s="58" t="s">
        <v>240</v>
      </c>
      <c r="B357" s="5" cm="1">
        <f t="array" ref="B357">IFERROR(
INDEX([1]PMDN!$T$2:$T$436,
_xlfn.AGGREGATE(15,6,
(ROW([1]PMDN!$T$2:$T$436)-ROW([1]PMDN!$T$2)+1)/
([1]PMDN!$H$2:$H$436=$A357),
COUNTIF($A$3:$A357,$A357)
)),
"")</f>
        <v>0</v>
      </c>
      <c r="E357" s="58" t="s">
        <v>240</v>
      </c>
      <c r="F357" s="5" cm="1">
        <f t="array" ref="F357">IFERROR(
INDEX([1]PMDN!$T$2:$T$436,
_xlfn.AGGREGATE(15,6,
(ROW([1]PMDN!$T$2:$T$436)-ROW([1]PMDN!$T$2)+1)/
([1]PMDN!$H$2:$H$436=$E357),
COUNTIF($E$3:$E357,$E357)
)),
"")</f>
        <v>0</v>
      </c>
      <c r="G357" s="73" t="str">
        <f t="shared" si="5"/>
        <v>UMK</v>
      </c>
    </row>
    <row r="358" spans="1:7" x14ac:dyDescent="0.35">
      <c r="A358" s="58" t="s">
        <v>240</v>
      </c>
      <c r="B358" s="5" cm="1">
        <f t="array" ref="B358">IFERROR(
INDEX([1]PMDN!$T$2:$T$436,
_xlfn.AGGREGATE(15,6,
(ROW([1]PMDN!$T$2:$T$436)-ROW([1]PMDN!$T$2)+1)/
([1]PMDN!$H$2:$H$436=$A358),
COUNTIF($A$3:$A358,$A358)
)),
"")</f>
        <v>0</v>
      </c>
      <c r="E358" s="58" t="s">
        <v>240</v>
      </c>
      <c r="F358" s="5" cm="1">
        <f t="array" ref="F358">IFERROR(
INDEX([1]PMDN!$T$2:$T$436,
_xlfn.AGGREGATE(15,6,
(ROW([1]PMDN!$T$2:$T$436)-ROW([1]PMDN!$T$2)+1)/
([1]PMDN!$H$2:$H$436=$E358),
COUNTIF($E$3:$E358,$E358)
)),
"")</f>
        <v>0</v>
      </c>
      <c r="G358" s="73" t="str">
        <f t="shared" si="5"/>
        <v>UMK</v>
      </c>
    </row>
    <row r="359" spans="1:7" x14ac:dyDescent="0.35">
      <c r="A359" s="58" t="s">
        <v>240</v>
      </c>
      <c r="B359" s="5" cm="1">
        <f t="array" ref="B359">IFERROR(
INDEX([1]PMDN!$T$2:$T$436,
_xlfn.AGGREGATE(15,6,
(ROW([1]PMDN!$T$2:$T$436)-ROW([1]PMDN!$T$2)+1)/
([1]PMDN!$H$2:$H$436=$A359),
COUNTIF($A$3:$A359,$A359)
)),
"")</f>
        <v>0</v>
      </c>
      <c r="E359" s="58" t="s">
        <v>240</v>
      </c>
      <c r="F359" s="5" cm="1">
        <f t="array" ref="F359">IFERROR(
INDEX([1]PMDN!$T$2:$T$436,
_xlfn.AGGREGATE(15,6,
(ROW([1]PMDN!$T$2:$T$436)-ROW([1]PMDN!$T$2)+1)/
([1]PMDN!$H$2:$H$436=$E359),
COUNTIF($E$3:$E359,$E359)
)),
"")</f>
        <v>0</v>
      </c>
      <c r="G359" s="73" t="str">
        <f t="shared" si="5"/>
        <v>UMK</v>
      </c>
    </row>
    <row r="360" spans="1:7" x14ac:dyDescent="0.35">
      <c r="A360" s="58" t="s">
        <v>241</v>
      </c>
      <c r="B360" s="5" cm="1">
        <f t="array" ref="B360">IFERROR(
INDEX([1]PMDN!$T$2:$T$436,
_xlfn.AGGREGATE(15,6,
(ROW([1]PMDN!$T$2:$T$436)-ROW([1]PMDN!$T$2)+1)/
([1]PMDN!$H$2:$H$436=$A360),
COUNTIF($A$3:$A360,$A360)
)),
"")</f>
        <v>0</v>
      </c>
      <c r="E360" s="58" t="s">
        <v>241</v>
      </c>
      <c r="F360" s="5" cm="1">
        <f t="array" ref="F360">IFERROR(
INDEX([1]PMDN!$T$2:$T$436,
_xlfn.AGGREGATE(15,6,
(ROW([1]PMDN!$T$2:$T$436)-ROW([1]PMDN!$T$2)+1)/
([1]PMDN!$H$2:$H$436=$E360),
COUNTIF($E$3:$E360,$E360)
)),
"")</f>
        <v>0</v>
      </c>
      <c r="G360" s="73" t="str">
        <f t="shared" si="5"/>
        <v>UMK</v>
      </c>
    </row>
    <row r="361" spans="1:7" x14ac:dyDescent="0.35">
      <c r="A361" s="58" t="s">
        <v>241</v>
      </c>
      <c r="B361" s="5" cm="1">
        <f t="array" ref="B361">IFERROR(
INDEX([1]PMDN!$T$2:$T$436,
_xlfn.AGGREGATE(15,6,
(ROW([1]PMDN!$T$2:$T$436)-ROW([1]PMDN!$T$2)+1)/
([1]PMDN!$H$2:$H$436=$A361),
COUNTIF($A$3:$A361,$A361)
)),
"")</f>
        <v>0</v>
      </c>
      <c r="E361" s="58" t="s">
        <v>241</v>
      </c>
      <c r="F361" s="5" cm="1">
        <f t="array" ref="F361">IFERROR(
INDEX([1]PMDN!$T$2:$T$436,
_xlfn.AGGREGATE(15,6,
(ROW([1]PMDN!$T$2:$T$436)-ROW([1]PMDN!$T$2)+1)/
([1]PMDN!$H$2:$H$436=$E361),
COUNTIF($E$3:$E361,$E361)
)),
"")</f>
        <v>0</v>
      </c>
      <c r="G361" s="73" t="str">
        <f t="shared" si="5"/>
        <v>UMK</v>
      </c>
    </row>
    <row r="362" spans="1:7" x14ac:dyDescent="0.35">
      <c r="A362" s="58" t="s">
        <v>241</v>
      </c>
      <c r="B362" s="5" cm="1">
        <f t="array" ref="B362">IFERROR(
INDEX([1]PMDN!$T$2:$T$436,
_xlfn.AGGREGATE(15,6,
(ROW([1]PMDN!$T$2:$T$436)-ROW([1]PMDN!$T$2)+1)/
([1]PMDN!$H$2:$H$436=$A362),
COUNTIF($A$3:$A362,$A362)
)),
"")</f>
        <v>0</v>
      </c>
      <c r="E362" s="58" t="s">
        <v>241</v>
      </c>
      <c r="F362" s="5" cm="1">
        <f t="array" ref="F362">IFERROR(
INDEX([1]PMDN!$T$2:$T$436,
_xlfn.AGGREGATE(15,6,
(ROW([1]PMDN!$T$2:$T$436)-ROW([1]PMDN!$T$2)+1)/
([1]PMDN!$H$2:$H$436=$E362),
COUNTIF($E$3:$E362,$E362)
)),
"")</f>
        <v>0</v>
      </c>
      <c r="G362" s="73" t="str">
        <f t="shared" si="5"/>
        <v>UMK</v>
      </c>
    </row>
    <row r="363" spans="1:7" x14ac:dyDescent="0.35">
      <c r="A363" s="58" t="s">
        <v>241</v>
      </c>
      <c r="B363" s="5" cm="1">
        <f t="array" ref="B363">IFERROR(
INDEX([1]PMDN!$T$2:$T$436,
_xlfn.AGGREGATE(15,6,
(ROW([1]PMDN!$T$2:$T$436)-ROW([1]PMDN!$T$2)+1)/
([1]PMDN!$H$2:$H$436=$A363),
COUNTIF($A$3:$A363,$A363)
)),
"")</f>
        <v>0</v>
      </c>
      <c r="E363" s="58" t="s">
        <v>241</v>
      </c>
      <c r="F363" s="5" cm="1">
        <f t="array" ref="F363">IFERROR(
INDEX([1]PMDN!$T$2:$T$436,
_xlfn.AGGREGATE(15,6,
(ROW([1]PMDN!$T$2:$T$436)-ROW([1]PMDN!$T$2)+1)/
([1]PMDN!$H$2:$H$436=$E363),
COUNTIF($E$3:$E363,$E363)
)),
"")</f>
        <v>0</v>
      </c>
      <c r="G363" s="73" t="str">
        <f t="shared" si="5"/>
        <v>UMK</v>
      </c>
    </row>
    <row r="364" spans="1:7" x14ac:dyDescent="0.35">
      <c r="A364" s="58" t="s">
        <v>241</v>
      </c>
      <c r="B364" s="5" cm="1">
        <f t="array" ref="B364">IFERROR(
INDEX([1]PMDN!$T$2:$T$436,
_xlfn.AGGREGATE(15,6,
(ROW([1]PMDN!$T$2:$T$436)-ROW([1]PMDN!$T$2)+1)/
([1]PMDN!$H$2:$H$436=$A364),
COUNTIF($A$3:$A364,$A364)
)),
"")</f>
        <v>0</v>
      </c>
      <c r="E364" s="58" t="s">
        <v>241</v>
      </c>
      <c r="F364" s="5" cm="1">
        <f t="array" ref="F364">IFERROR(
INDEX([1]PMDN!$T$2:$T$436,
_xlfn.AGGREGATE(15,6,
(ROW([1]PMDN!$T$2:$T$436)-ROW([1]PMDN!$T$2)+1)/
([1]PMDN!$H$2:$H$436=$E364),
COUNTIF($E$3:$E364,$E364)
)),
"")</f>
        <v>0</v>
      </c>
      <c r="G364" s="73" t="str">
        <f t="shared" si="5"/>
        <v>UMK</v>
      </c>
    </row>
    <row r="365" spans="1:7" x14ac:dyDescent="0.35">
      <c r="A365" s="58" t="s">
        <v>241</v>
      </c>
      <c r="B365" s="5" cm="1">
        <f t="array" ref="B365">IFERROR(
INDEX([1]PMDN!$T$2:$T$436,
_xlfn.AGGREGATE(15,6,
(ROW([1]PMDN!$T$2:$T$436)-ROW([1]PMDN!$T$2)+1)/
([1]PMDN!$H$2:$H$436=$A365),
COUNTIF($A$3:$A365,$A365)
)),
"")</f>
        <v>0</v>
      </c>
      <c r="E365" s="58" t="s">
        <v>241</v>
      </c>
      <c r="F365" s="5" cm="1">
        <f t="array" ref="F365">IFERROR(
INDEX([1]PMDN!$T$2:$T$436,
_xlfn.AGGREGATE(15,6,
(ROW([1]PMDN!$T$2:$T$436)-ROW([1]PMDN!$T$2)+1)/
([1]PMDN!$H$2:$H$436=$E365),
COUNTIF($E$3:$E365,$E365)
)),
"")</f>
        <v>0</v>
      </c>
      <c r="G365" s="73" t="str">
        <f t="shared" si="5"/>
        <v>UMK</v>
      </c>
    </row>
    <row r="366" spans="1:7" x14ac:dyDescent="0.35">
      <c r="A366" s="58" t="s">
        <v>241</v>
      </c>
      <c r="B366" s="5" cm="1">
        <f t="array" ref="B366">IFERROR(
INDEX([1]PMDN!$T$2:$T$436,
_xlfn.AGGREGATE(15,6,
(ROW([1]PMDN!$T$2:$T$436)-ROW([1]PMDN!$T$2)+1)/
([1]PMDN!$H$2:$H$436=$A366),
COUNTIF($A$3:$A366,$A366)
)),
"")</f>
        <v>0</v>
      </c>
      <c r="E366" s="58" t="s">
        <v>241</v>
      </c>
      <c r="F366" s="5" cm="1">
        <f t="array" ref="F366">IFERROR(
INDEX([1]PMDN!$T$2:$T$436,
_xlfn.AGGREGATE(15,6,
(ROW([1]PMDN!$T$2:$T$436)-ROW([1]PMDN!$T$2)+1)/
([1]PMDN!$H$2:$H$436=$E366),
COUNTIF($E$3:$E366,$E366)
)),
"")</f>
        <v>0</v>
      </c>
      <c r="G366" s="73" t="str">
        <f t="shared" si="5"/>
        <v>UMK</v>
      </c>
    </row>
    <row r="367" spans="1:7" x14ac:dyDescent="0.35">
      <c r="A367" s="58" t="s">
        <v>241</v>
      </c>
      <c r="B367" s="5" cm="1">
        <f t="array" ref="B367">IFERROR(
INDEX([1]PMDN!$T$2:$T$436,
_xlfn.AGGREGATE(15,6,
(ROW([1]PMDN!$T$2:$T$436)-ROW([1]PMDN!$T$2)+1)/
([1]PMDN!$H$2:$H$436=$A367),
COUNTIF($A$3:$A367,$A367)
)),
"")</f>
        <v>0</v>
      </c>
      <c r="E367" s="58" t="s">
        <v>241</v>
      </c>
      <c r="F367" s="5" cm="1">
        <f t="array" ref="F367">IFERROR(
INDEX([1]PMDN!$T$2:$T$436,
_xlfn.AGGREGATE(15,6,
(ROW([1]PMDN!$T$2:$T$436)-ROW([1]PMDN!$T$2)+1)/
([1]PMDN!$H$2:$H$436=$E367),
COUNTIF($E$3:$E367,$E367)
)),
"")</f>
        <v>0</v>
      </c>
      <c r="G367" s="73" t="str">
        <f t="shared" si="5"/>
        <v>UMK</v>
      </c>
    </row>
    <row r="368" spans="1:7" x14ac:dyDescent="0.35">
      <c r="A368" s="58" t="s">
        <v>241</v>
      </c>
      <c r="B368" s="5" cm="1">
        <f t="array" ref="B368">IFERROR(
INDEX([1]PMDN!$T$2:$T$436,
_xlfn.AGGREGATE(15,6,
(ROW([1]PMDN!$T$2:$T$436)-ROW([1]PMDN!$T$2)+1)/
([1]PMDN!$H$2:$H$436=$A368),
COUNTIF($A$3:$A368,$A368)
)),
"")</f>
        <v>0</v>
      </c>
      <c r="E368" s="58" t="s">
        <v>241</v>
      </c>
      <c r="F368" s="5" cm="1">
        <f t="array" ref="F368">IFERROR(
INDEX([1]PMDN!$T$2:$T$436,
_xlfn.AGGREGATE(15,6,
(ROW([1]PMDN!$T$2:$T$436)-ROW([1]PMDN!$T$2)+1)/
([1]PMDN!$H$2:$H$436=$E368),
COUNTIF($E$3:$E368,$E368)
)),
"")</f>
        <v>0</v>
      </c>
      <c r="G368" s="73" t="str">
        <f t="shared" si="5"/>
        <v>UMK</v>
      </c>
    </row>
    <row r="369" spans="1:7" x14ac:dyDescent="0.35">
      <c r="A369" s="58" t="s">
        <v>241</v>
      </c>
      <c r="B369" s="5" cm="1">
        <f t="array" ref="B369">IFERROR(
INDEX([1]PMDN!$T$2:$T$436,
_xlfn.AGGREGATE(15,6,
(ROW([1]PMDN!$T$2:$T$436)-ROW([1]PMDN!$T$2)+1)/
([1]PMDN!$H$2:$H$436=$A369),
COUNTIF($A$3:$A369,$A369)
)),
"")</f>
        <v>0</v>
      </c>
      <c r="E369" s="58" t="s">
        <v>241</v>
      </c>
      <c r="F369" s="5" cm="1">
        <f t="array" ref="F369">IFERROR(
INDEX([1]PMDN!$T$2:$T$436,
_xlfn.AGGREGATE(15,6,
(ROW([1]PMDN!$T$2:$T$436)-ROW([1]PMDN!$T$2)+1)/
([1]PMDN!$H$2:$H$436=$E369),
COUNTIF($E$3:$E369,$E369)
)),
"")</f>
        <v>0</v>
      </c>
      <c r="G369" s="73" t="str">
        <f t="shared" si="5"/>
        <v>UMK</v>
      </c>
    </row>
    <row r="370" spans="1:7" x14ac:dyDescent="0.35">
      <c r="A370" s="58" t="s">
        <v>241</v>
      </c>
      <c r="B370" s="5" cm="1">
        <f t="array" ref="B370">IFERROR(
INDEX([1]PMDN!$T$2:$T$436,
_xlfn.AGGREGATE(15,6,
(ROW([1]PMDN!$T$2:$T$436)-ROW([1]PMDN!$T$2)+1)/
([1]PMDN!$H$2:$H$436=$A370),
COUNTIF($A$3:$A370,$A370)
)),
"")</f>
        <v>0</v>
      </c>
      <c r="E370" s="58" t="s">
        <v>241</v>
      </c>
      <c r="F370" s="5" cm="1">
        <f t="array" ref="F370">IFERROR(
INDEX([1]PMDN!$T$2:$T$436,
_xlfn.AGGREGATE(15,6,
(ROW([1]PMDN!$T$2:$T$436)-ROW([1]PMDN!$T$2)+1)/
([1]PMDN!$H$2:$H$436=$E370),
COUNTIF($E$3:$E370,$E370)
)),
"")</f>
        <v>0</v>
      </c>
      <c r="G370" s="73" t="str">
        <f t="shared" si="5"/>
        <v>UMK</v>
      </c>
    </row>
    <row r="371" spans="1:7" x14ac:dyDescent="0.35">
      <c r="A371" s="58" t="s">
        <v>241</v>
      </c>
      <c r="B371" s="5" cm="1">
        <f t="array" ref="B371">IFERROR(
INDEX([1]PMDN!$T$2:$T$436,
_xlfn.AGGREGATE(15,6,
(ROW([1]PMDN!$T$2:$T$436)-ROW([1]PMDN!$T$2)+1)/
([1]PMDN!$H$2:$H$436=$A371),
COUNTIF($A$3:$A371,$A371)
)),
"")</f>
        <v>0</v>
      </c>
      <c r="E371" s="58" t="s">
        <v>241</v>
      </c>
      <c r="F371" s="5" cm="1">
        <f t="array" ref="F371">IFERROR(
INDEX([1]PMDN!$T$2:$T$436,
_xlfn.AGGREGATE(15,6,
(ROW([1]PMDN!$T$2:$T$436)-ROW([1]PMDN!$T$2)+1)/
([1]PMDN!$H$2:$H$436=$E371),
COUNTIF($E$3:$E371,$E371)
)),
"")</f>
        <v>0</v>
      </c>
      <c r="G371" s="73" t="str">
        <f t="shared" si="5"/>
        <v>UMK</v>
      </c>
    </row>
    <row r="372" spans="1:7" x14ac:dyDescent="0.35">
      <c r="A372" s="58" t="s">
        <v>241</v>
      </c>
      <c r="B372" s="5" cm="1">
        <f t="array" ref="B372">IFERROR(
INDEX([1]PMDN!$T$2:$T$436,
_xlfn.AGGREGATE(15,6,
(ROW([1]PMDN!$T$2:$T$436)-ROW([1]PMDN!$T$2)+1)/
([1]PMDN!$H$2:$H$436=$A372),
COUNTIF($A$3:$A372,$A372)
)),
"")</f>
        <v>0</v>
      </c>
      <c r="E372" s="58" t="s">
        <v>241</v>
      </c>
      <c r="F372" s="5" cm="1">
        <f t="array" ref="F372">IFERROR(
INDEX([1]PMDN!$T$2:$T$436,
_xlfn.AGGREGATE(15,6,
(ROW([1]PMDN!$T$2:$T$436)-ROW([1]PMDN!$T$2)+1)/
([1]PMDN!$H$2:$H$436=$E372),
COUNTIF($E$3:$E372,$E372)
)),
"")</f>
        <v>0</v>
      </c>
      <c r="G372" s="73" t="str">
        <f t="shared" si="5"/>
        <v>UMK</v>
      </c>
    </row>
    <row r="373" spans="1:7" x14ac:dyDescent="0.35">
      <c r="A373" s="58" t="s">
        <v>241</v>
      </c>
      <c r="B373" s="5" cm="1">
        <f t="array" ref="B373">IFERROR(
INDEX([1]PMDN!$T$2:$T$436,
_xlfn.AGGREGATE(15,6,
(ROW([1]PMDN!$T$2:$T$436)-ROW([1]PMDN!$T$2)+1)/
([1]PMDN!$H$2:$H$436=$A373),
COUNTIF($A$3:$A373,$A373)
)),
"")</f>
        <v>0</v>
      </c>
      <c r="E373" s="58" t="s">
        <v>241</v>
      </c>
      <c r="F373" s="5" cm="1">
        <f t="array" ref="F373">IFERROR(
INDEX([1]PMDN!$T$2:$T$436,
_xlfn.AGGREGATE(15,6,
(ROW([1]PMDN!$T$2:$T$436)-ROW([1]PMDN!$T$2)+1)/
([1]PMDN!$H$2:$H$436=$E373),
COUNTIF($E$3:$E373,$E373)
)),
"")</f>
        <v>0</v>
      </c>
      <c r="G373" s="73" t="str">
        <f t="shared" si="5"/>
        <v>UMK</v>
      </c>
    </row>
    <row r="374" spans="1:7" x14ac:dyDescent="0.35">
      <c r="A374" s="58" t="s">
        <v>241</v>
      </c>
      <c r="B374" s="5" cm="1">
        <f t="array" ref="B374">IFERROR(
INDEX([1]PMDN!$T$2:$T$436,
_xlfn.AGGREGATE(15,6,
(ROW([1]PMDN!$T$2:$T$436)-ROW([1]PMDN!$T$2)+1)/
([1]PMDN!$H$2:$H$436=$A374),
COUNTIF($A$3:$A374,$A374)
)),
"")</f>
        <v>0</v>
      </c>
      <c r="E374" s="58" t="s">
        <v>241</v>
      </c>
      <c r="F374" s="5" cm="1">
        <f t="array" ref="F374">IFERROR(
INDEX([1]PMDN!$T$2:$T$436,
_xlfn.AGGREGATE(15,6,
(ROW([1]PMDN!$T$2:$T$436)-ROW([1]PMDN!$T$2)+1)/
([1]PMDN!$H$2:$H$436=$E374),
COUNTIF($E$3:$E374,$E374)
)),
"")</f>
        <v>0</v>
      </c>
      <c r="G374" s="73" t="str">
        <f t="shared" si="5"/>
        <v>UMK</v>
      </c>
    </row>
    <row r="375" spans="1:7" x14ac:dyDescent="0.35">
      <c r="A375" s="58" t="s">
        <v>241</v>
      </c>
      <c r="B375" s="5" cm="1">
        <f t="array" ref="B375">IFERROR(
INDEX([1]PMDN!$T$2:$T$436,
_xlfn.AGGREGATE(15,6,
(ROW([1]PMDN!$T$2:$T$436)-ROW([1]PMDN!$T$2)+1)/
([1]PMDN!$H$2:$H$436=$A375),
COUNTIF($A$3:$A375,$A375)
)),
"")</f>
        <v>0</v>
      </c>
      <c r="E375" s="58" t="s">
        <v>241</v>
      </c>
      <c r="F375" s="5" cm="1">
        <f t="array" ref="F375">IFERROR(
INDEX([1]PMDN!$T$2:$T$436,
_xlfn.AGGREGATE(15,6,
(ROW([1]PMDN!$T$2:$T$436)-ROW([1]PMDN!$T$2)+1)/
([1]PMDN!$H$2:$H$436=$E375),
COUNTIF($E$3:$E375,$E375)
)),
"")</f>
        <v>0</v>
      </c>
      <c r="G375" s="73" t="str">
        <f t="shared" si="5"/>
        <v>UMK</v>
      </c>
    </row>
    <row r="376" spans="1:7" x14ac:dyDescent="0.35">
      <c r="A376" s="58" t="s">
        <v>241</v>
      </c>
      <c r="B376" s="5" cm="1">
        <f t="array" ref="B376">IFERROR(
INDEX([1]PMDN!$T$2:$T$436,
_xlfn.AGGREGATE(15,6,
(ROW([1]PMDN!$T$2:$T$436)-ROW([1]PMDN!$T$2)+1)/
([1]PMDN!$H$2:$H$436=$A376),
COUNTIF($A$3:$A376,$A376)
)),
"")</f>
        <v>0</v>
      </c>
      <c r="E376" s="58" t="s">
        <v>241</v>
      </c>
      <c r="F376" s="5" cm="1">
        <f t="array" ref="F376">IFERROR(
INDEX([1]PMDN!$T$2:$T$436,
_xlfn.AGGREGATE(15,6,
(ROW([1]PMDN!$T$2:$T$436)-ROW([1]PMDN!$T$2)+1)/
([1]PMDN!$H$2:$H$436=$E376),
COUNTIF($E$3:$E376,$E376)
)),
"")</f>
        <v>0</v>
      </c>
      <c r="G376" s="73" t="str">
        <f t="shared" si="5"/>
        <v>UMK</v>
      </c>
    </row>
    <row r="377" spans="1:7" x14ac:dyDescent="0.35">
      <c r="A377" s="58" t="s">
        <v>241</v>
      </c>
      <c r="B377" s="5" cm="1">
        <f t="array" ref="B377">IFERROR(
INDEX([1]PMDN!$T$2:$T$436,
_xlfn.AGGREGATE(15,6,
(ROW([1]PMDN!$T$2:$T$436)-ROW([1]PMDN!$T$2)+1)/
([1]PMDN!$H$2:$H$436=$A377),
COUNTIF($A$3:$A377,$A377)
)),
"")</f>
        <v>0</v>
      </c>
      <c r="E377" s="58" t="s">
        <v>241</v>
      </c>
      <c r="F377" s="5" cm="1">
        <f t="array" ref="F377">IFERROR(
INDEX([1]PMDN!$T$2:$T$436,
_xlfn.AGGREGATE(15,6,
(ROW([1]PMDN!$T$2:$T$436)-ROW([1]PMDN!$T$2)+1)/
([1]PMDN!$H$2:$H$436=$E377),
COUNTIF($E$3:$E377,$E377)
)),
"")</f>
        <v>0</v>
      </c>
      <c r="G377" s="73" t="str">
        <f t="shared" si="5"/>
        <v>UMK</v>
      </c>
    </row>
    <row r="378" spans="1:7" x14ac:dyDescent="0.35">
      <c r="A378" s="58" t="s">
        <v>241</v>
      </c>
      <c r="B378" s="5" cm="1">
        <f t="array" ref="B378">IFERROR(
INDEX([1]PMDN!$T$2:$T$436,
_xlfn.AGGREGATE(15,6,
(ROW([1]PMDN!$T$2:$T$436)-ROW([1]PMDN!$T$2)+1)/
([1]PMDN!$H$2:$H$436=$A378),
COUNTIF($A$3:$A378,$A378)
)),
"")</f>
        <v>0</v>
      </c>
      <c r="E378" s="58" t="s">
        <v>241</v>
      </c>
      <c r="F378" s="5" cm="1">
        <f t="array" ref="F378">IFERROR(
INDEX([1]PMDN!$T$2:$T$436,
_xlfn.AGGREGATE(15,6,
(ROW([1]PMDN!$T$2:$T$436)-ROW([1]PMDN!$T$2)+1)/
([1]PMDN!$H$2:$H$436=$E378),
COUNTIF($E$3:$E378,$E378)
)),
"")</f>
        <v>0</v>
      </c>
      <c r="G378" s="73" t="str">
        <f t="shared" si="5"/>
        <v>UMK</v>
      </c>
    </row>
    <row r="379" spans="1:7" x14ac:dyDescent="0.35">
      <c r="A379" s="58" t="s">
        <v>241</v>
      </c>
      <c r="B379" s="5" cm="1">
        <f t="array" ref="B379">IFERROR(
INDEX([1]PMDN!$T$2:$T$436,
_xlfn.AGGREGATE(15,6,
(ROW([1]PMDN!$T$2:$T$436)-ROW([1]PMDN!$T$2)+1)/
([1]PMDN!$H$2:$H$436=$A379),
COUNTIF($A$3:$A379,$A379)
)),
"")</f>
        <v>0</v>
      </c>
      <c r="E379" s="58" t="s">
        <v>241</v>
      </c>
      <c r="F379" s="5" cm="1">
        <f t="array" ref="F379">IFERROR(
INDEX([1]PMDN!$T$2:$T$436,
_xlfn.AGGREGATE(15,6,
(ROW([1]PMDN!$T$2:$T$436)-ROW([1]PMDN!$T$2)+1)/
([1]PMDN!$H$2:$H$436=$E379),
COUNTIF($E$3:$E379,$E379)
)),
"")</f>
        <v>0</v>
      </c>
      <c r="G379" s="73" t="str">
        <f t="shared" si="5"/>
        <v>UMK</v>
      </c>
    </row>
    <row r="380" spans="1:7" x14ac:dyDescent="0.35">
      <c r="A380" s="58" t="s">
        <v>241</v>
      </c>
      <c r="B380" s="5" cm="1">
        <f t="array" ref="B380">IFERROR(
INDEX([1]PMDN!$T$2:$T$436,
_xlfn.AGGREGATE(15,6,
(ROW([1]PMDN!$T$2:$T$436)-ROW([1]PMDN!$T$2)+1)/
([1]PMDN!$H$2:$H$436=$A380),
COUNTIF($A$3:$A380,$A380)
)),
"")</f>
        <v>0</v>
      </c>
      <c r="E380" s="58" t="s">
        <v>241</v>
      </c>
      <c r="F380" s="5" cm="1">
        <f t="array" ref="F380">IFERROR(
INDEX([1]PMDN!$T$2:$T$436,
_xlfn.AGGREGATE(15,6,
(ROW([1]PMDN!$T$2:$T$436)-ROW([1]PMDN!$T$2)+1)/
([1]PMDN!$H$2:$H$436=$E380),
COUNTIF($E$3:$E380,$E380)
)),
"")</f>
        <v>0</v>
      </c>
      <c r="G380" s="73" t="str">
        <f t="shared" si="5"/>
        <v>UMK</v>
      </c>
    </row>
    <row r="381" spans="1:7" x14ac:dyDescent="0.35">
      <c r="A381" s="58" t="s">
        <v>241</v>
      </c>
      <c r="B381" s="5" cm="1">
        <f t="array" ref="B381">IFERROR(
INDEX([1]PMDN!$T$2:$T$436,
_xlfn.AGGREGATE(15,6,
(ROW([1]PMDN!$T$2:$T$436)-ROW([1]PMDN!$T$2)+1)/
([1]PMDN!$H$2:$H$436=$A381),
COUNTIF($A$3:$A381,$A381)
)),
"")</f>
        <v>0</v>
      </c>
      <c r="E381" s="58" t="s">
        <v>241</v>
      </c>
      <c r="F381" s="5" cm="1">
        <f t="array" ref="F381">IFERROR(
INDEX([1]PMDN!$T$2:$T$436,
_xlfn.AGGREGATE(15,6,
(ROW([1]PMDN!$T$2:$T$436)-ROW([1]PMDN!$T$2)+1)/
([1]PMDN!$H$2:$H$436=$E381),
COUNTIF($E$3:$E381,$E381)
)),
"")</f>
        <v>0</v>
      </c>
      <c r="G381" s="73" t="str">
        <f t="shared" si="5"/>
        <v>UMK</v>
      </c>
    </row>
    <row r="382" spans="1:7" x14ac:dyDescent="0.35">
      <c r="A382" s="58" t="s">
        <v>241</v>
      </c>
      <c r="B382" s="5" cm="1">
        <f t="array" ref="B382">IFERROR(
INDEX([1]PMDN!$T$2:$T$436,
_xlfn.AGGREGATE(15,6,
(ROW([1]PMDN!$T$2:$T$436)-ROW([1]PMDN!$T$2)+1)/
([1]PMDN!$H$2:$H$436=$A382),
COUNTIF($A$3:$A382,$A382)
)),
"")</f>
        <v>0</v>
      </c>
      <c r="E382" s="58" t="s">
        <v>241</v>
      </c>
      <c r="F382" s="5" cm="1">
        <f t="array" ref="F382">IFERROR(
INDEX([1]PMDN!$T$2:$T$436,
_xlfn.AGGREGATE(15,6,
(ROW([1]PMDN!$T$2:$T$436)-ROW([1]PMDN!$T$2)+1)/
([1]PMDN!$H$2:$H$436=$E382),
COUNTIF($E$3:$E382,$E382)
)),
"")</f>
        <v>0</v>
      </c>
      <c r="G382" s="73" t="str">
        <f t="shared" si="5"/>
        <v>UMK</v>
      </c>
    </row>
    <row r="383" spans="1:7" x14ac:dyDescent="0.35">
      <c r="A383" s="58" t="s">
        <v>241</v>
      </c>
      <c r="B383" s="5" cm="1">
        <f t="array" ref="B383">IFERROR(
INDEX([1]PMDN!$T$2:$T$436,
_xlfn.AGGREGATE(15,6,
(ROW([1]PMDN!$T$2:$T$436)-ROW([1]PMDN!$T$2)+1)/
([1]PMDN!$H$2:$H$436=$A383),
COUNTIF($A$3:$A383,$A383)
)),
"")</f>
        <v>0</v>
      </c>
      <c r="E383" s="58" t="s">
        <v>241</v>
      </c>
      <c r="F383" s="5" cm="1">
        <f t="array" ref="F383">IFERROR(
INDEX([1]PMDN!$T$2:$T$436,
_xlfn.AGGREGATE(15,6,
(ROW([1]PMDN!$T$2:$T$436)-ROW([1]PMDN!$T$2)+1)/
([1]PMDN!$H$2:$H$436=$E383),
COUNTIF($E$3:$E383,$E383)
)),
"")</f>
        <v>0</v>
      </c>
      <c r="G383" s="73" t="str">
        <f t="shared" si="5"/>
        <v>UMK</v>
      </c>
    </row>
    <row r="384" spans="1:7" x14ac:dyDescent="0.35">
      <c r="A384" s="58" t="s">
        <v>241</v>
      </c>
      <c r="B384" s="5" cm="1">
        <f t="array" ref="B384">IFERROR(
INDEX([1]PMDN!$T$2:$T$436,
_xlfn.AGGREGATE(15,6,
(ROW([1]PMDN!$T$2:$T$436)-ROW([1]PMDN!$T$2)+1)/
([1]PMDN!$H$2:$H$436=$A384),
COUNTIF($A$3:$A384,$A384)
)),
"")</f>
        <v>0</v>
      </c>
      <c r="E384" s="58" t="s">
        <v>241</v>
      </c>
      <c r="F384" s="5" cm="1">
        <f t="array" ref="F384">IFERROR(
INDEX([1]PMDN!$T$2:$T$436,
_xlfn.AGGREGATE(15,6,
(ROW([1]PMDN!$T$2:$T$436)-ROW([1]PMDN!$T$2)+1)/
([1]PMDN!$H$2:$H$436=$E384),
COUNTIF($E$3:$E384,$E384)
)),
"")</f>
        <v>0</v>
      </c>
      <c r="G384" s="73" t="str">
        <f t="shared" si="5"/>
        <v>UMK</v>
      </c>
    </row>
    <row r="385" spans="1:7" x14ac:dyDescent="0.35">
      <c r="A385" s="58" t="s">
        <v>241</v>
      </c>
      <c r="B385" s="5" cm="1">
        <f t="array" ref="B385">IFERROR(
INDEX([1]PMDN!$T$2:$T$436,
_xlfn.AGGREGATE(15,6,
(ROW([1]PMDN!$T$2:$T$436)-ROW([1]PMDN!$T$2)+1)/
([1]PMDN!$H$2:$H$436=$A385),
COUNTIF($A$3:$A385,$A385)
)),
"")</f>
        <v>0</v>
      </c>
      <c r="E385" s="58" t="s">
        <v>241</v>
      </c>
      <c r="F385" s="5" cm="1">
        <f t="array" ref="F385">IFERROR(
INDEX([1]PMDN!$T$2:$T$436,
_xlfn.AGGREGATE(15,6,
(ROW([1]PMDN!$T$2:$T$436)-ROW([1]PMDN!$T$2)+1)/
([1]PMDN!$H$2:$H$436=$E385),
COUNTIF($E$3:$E385,$E385)
)),
"")</f>
        <v>0</v>
      </c>
      <c r="G385" s="73" t="str">
        <f t="shared" si="5"/>
        <v>UMK</v>
      </c>
    </row>
    <row r="386" spans="1:7" x14ac:dyDescent="0.35">
      <c r="A386" s="58" t="s">
        <v>241</v>
      </c>
      <c r="B386" s="5" cm="1">
        <f t="array" ref="B386">IFERROR(
INDEX([1]PMDN!$T$2:$T$436,
_xlfn.AGGREGATE(15,6,
(ROW([1]PMDN!$T$2:$T$436)-ROW([1]PMDN!$T$2)+1)/
([1]PMDN!$H$2:$H$436=$A386),
COUNTIF($A$3:$A386,$A386)
)),
"")</f>
        <v>0</v>
      </c>
      <c r="E386" s="58" t="s">
        <v>241</v>
      </c>
      <c r="F386" s="5" cm="1">
        <f t="array" ref="F386">IFERROR(
INDEX([1]PMDN!$T$2:$T$436,
_xlfn.AGGREGATE(15,6,
(ROW([1]PMDN!$T$2:$T$436)-ROW([1]PMDN!$T$2)+1)/
([1]PMDN!$H$2:$H$436=$E386),
COUNTIF($E$3:$E386,$E386)
)),
"")</f>
        <v>0</v>
      </c>
      <c r="G386" s="73" t="str">
        <f t="shared" si="5"/>
        <v>UMK</v>
      </c>
    </row>
    <row r="387" spans="1:7" x14ac:dyDescent="0.35">
      <c r="A387" s="58" t="s">
        <v>241</v>
      </c>
      <c r="B387" s="5" cm="1">
        <f t="array" ref="B387">IFERROR(
INDEX([1]PMDN!$T$2:$T$436,
_xlfn.AGGREGATE(15,6,
(ROW([1]PMDN!$T$2:$T$436)-ROW([1]PMDN!$T$2)+1)/
([1]PMDN!$H$2:$H$436=$A387),
COUNTIF($A$3:$A387,$A387)
)),
"")</f>
        <v>0</v>
      </c>
      <c r="E387" s="58" t="s">
        <v>241</v>
      </c>
      <c r="F387" s="5" cm="1">
        <f t="array" ref="F387">IFERROR(
INDEX([1]PMDN!$T$2:$T$436,
_xlfn.AGGREGATE(15,6,
(ROW([1]PMDN!$T$2:$T$436)-ROW([1]PMDN!$T$2)+1)/
([1]PMDN!$H$2:$H$436=$E387),
COUNTIF($E$3:$E387,$E387)
)),
"")</f>
        <v>0</v>
      </c>
      <c r="G387" s="73" t="str">
        <f t="shared" si="5"/>
        <v>UMK</v>
      </c>
    </row>
    <row r="388" spans="1:7" x14ac:dyDescent="0.35">
      <c r="A388" s="58" t="s">
        <v>241</v>
      </c>
      <c r="B388" s="5" cm="1">
        <f t="array" ref="B388">IFERROR(
INDEX([1]PMDN!$T$2:$T$436,
_xlfn.AGGREGATE(15,6,
(ROW([1]PMDN!$T$2:$T$436)-ROW([1]PMDN!$T$2)+1)/
([1]PMDN!$H$2:$H$436=$A388),
COUNTIF($A$3:$A388,$A388)
)),
"")</f>
        <v>0</v>
      </c>
      <c r="E388" s="58" t="s">
        <v>241</v>
      </c>
      <c r="F388" s="5" cm="1">
        <f t="array" ref="F388">IFERROR(
INDEX([1]PMDN!$T$2:$T$436,
_xlfn.AGGREGATE(15,6,
(ROW([1]PMDN!$T$2:$T$436)-ROW([1]PMDN!$T$2)+1)/
([1]PMDN!$H$2:$H$436=$E388),
COUNTIF($E$3:$E388,$E388)
)),
"")</f>
        <v>0</v>
      </c>
      <c r="G388" s="73" t="str">
        <f t="shared" ref="G388:G437" si="6">IF(F388&lt;=5000000000,"UMK","Non-UMK")</f>
        <v>UMK</v>
      </c>
    </row>
    <row r="389" spans="1:7" x14ac:dyDescent="0.35">
      <c r="A389" s="58" t="s">
        <v>241</v>
      </c>
      <c r="B389" s="5" cm="1">
        <f t="array" ref="B389">IFERROR(
INDEX([1]PMDN!$T$2:$T$436,
_xlfn.AGGREGATE(15,6,
(ROW([1]PMDN!$T$2:$T$436)-ROW([1]PMDN!$T$2)+1)/
([1]PMDN!$H$2:$H$436=$A389),
COUNTIF($A$3:$A389,$A389)
)),
"")</f>
        <v>0</v>
      </c>
      <c r="E389" s="58" t="s">
        <v>241</v>
      </c>
      <c r="F389" s="5" cm="1">
        <f t="array" ref="F389">IFERROR(
INDEX([1]PMDN!$T$2:$T$436,
_xlfn.AGGREGATE(15,6,
(ROW([1]PMDN!$T$2:$T$436)-ROW([1]PMDN!$T$2)+1)/
([1]PMDN!$H$2:$H$436=$E389),
COUNTIF($E$3:$E389,$E389)
)),
"")</f>
        <v>0</v>
      </c>
      <c r="G389" s="73" t="str">
        <f t="shared" si="6"/>
        <v>UMK</v>
      </c>
    </row>
    <row r="390" spans="1:7" x14ac:dyDescent="0.35">
      <c r="A390" s="58" t="s">
        <v>241</v>
      </c>
      <c r="B390" s="5" cm="1">
        <f t="array" ref="B390">IFERROR(
INDEX([1]PMDN!$T$2:$T$436,
_xlfn.AGGREGATE(15,6,
(ROW([1]PMDN!$T$2:$T$436)-ROW([1]PMDN!$T$2)+1)/
([1]PMDN!$H$2:$H$436=$A390),
COUNTIF($A$3:$A390,$A390)
)),
"")</f>
        <v>0</v>
      </c>
      <c r="E390" s="58" t="s">
        <v>241</v>
      </c>
      <c r="F390" s="5" cm="1">
        <f t="array" ref="F390">IFERROR(
INDEX([1]PMDN!$T$2:$T$436,
_xlfn.AGGREGATE(15,6,
(ROW([1]PMDN!$T$2:$T$436)-ROW([1]PMDN!$T$2)+1)/
([1]PMDN!$H$2:$H$436=$E390),
COUNTIF($E$3:$E390,$E390)
)),
"")</f>
        <v>0</v>
      </c>
      <c r="G390" s="73" t="str">
        <f t="shared" si="6"/>
        <v>UMK</v>
      </c>
    </row>
    <row r="391" spans="1:7" x14ac:dyDescent="0.35">
      <c r="A391" s="58" t="s">
        <v>241</v>
      </c>
      <c r="B391" s="5" cm="1">
        <f t="array" ref="B391">IFERROR(
INDEX([1]PMDN!$T$2:$T$436,
_xlfn.AGGREGATE(15,6,
(ROW([1]PMDN!$T$2:$T$436)-ROW([1]PMDN!$T$2)+1)/
([1]PMDN!$H$2:$H$436=$A391),
COUNTIF($A$3:$A391,$A391)
)),
"")</f>
        <v>0</v>
      </c>
      <c r="E391" s="58" t="s">
        <v>241</v>
      </c>
      <c r="F391" s="5" cm="1">
        <f t="array" ref="F391">IFERROR(
INDEX([1]PMDN!$T$2:$T$436,
_xlfn.AGGREGATE(15,6,
(ROW([1]PMDN!$T$2:$T$436)-ROW([1]PMDN!$T$2)+1)/
([1]PMDN!$H$2:$H$436=$E391),
COUNTIF($E$3:$E391,$E391)
)),
"")</f>
        <v>0</v>
      </c>
      <c r="G391" s="73" t="str">
        <f t="shared" si="6"/>
        <v>UMK</v>
      </c>
    </row>
    <row r="392" spans="1:7" x14ac:dyDescent="0.35">
      <c r="A392" s="58" t="s">
        <v>241</v>
      </c>
      <c r="B392" s="5" cm="1">
        <f t="array" ref="B392">IFERROR(
INDEX([1]PMDN!$T$2:$T$436,
_xlfn.AGGREGATE(15,6,
(ROW([1]PMDN!$T$2:$T$436)-ROW([1]PMDN!$T$2)+1)/
([1]PMDN!$H$2:$H$436=$A392),
COUNTIF($A$3:$A392,$A392)
)),
"")</f>
        <v>0</v>
      </c>
      <c r="E392" s="58" t="s">
        <v>241</v>
      </c>
      <c r="F392" s="5" cm="1">
        <f t="array" ref="F392">IFERROR(
INDEX([1]PMDN!$T$2:$T$436,
_xlfn.AGGREGATE(15,6,
(ROW([1]PMDN!$T$2:$T$436)-ROW([1]PMDN!$T$2)+1)/
([1]PMDN!$H$2:$H$436=$E392),
COUNTIF($E$3:$E392,$E392)
)),
"")</f>
        <v>0</v>
      </c>
      <c r="G392" s="73" t="str">
        <f t="shared" si="6"/>
        <v>UMK</v>
      </c>
    </row>
    <row r="393" spans="1:7" x14ac:dyDescent="0.35">
      <c r="A393" s="58" t="s">
        <v>241</v>
      </c>
      <c r="B393" s="5" cm="1">
        <f t="array" ref="B393">IFERROR(
INDEX([1]PMDN!$T$2:$T$436,
_xlfn.AGGREGATE(15,6,
(ROW([1]PMDN!$T$2:$T$436)-ROW([1]PMDN!$T$2)+1)/
([1]PMDN!$H$2:$H$436=$A393),
COUNTIF($A$3:$A393,$A393)
)),
"")</f>
        <v>0</v>
      </c>
      <c r="E393" s="58" t="s">
        <v>241</v>
      </c>
      <c r="F393" s="5" cm="1">
        <f t="array" ref="F393">IFERROR(
INDEX([1]PMDN!$T$2:$T$436,
_xlfn.AGGREGATE(15,6,
(ROW([1]PMDN!$T$2:$T$436)-ROW([1]PMDN!$T$2)+1)/
([1]PMDN!$H$2:$H$436=$E393),
COUNTIF($E$3:$E393,$E393)
)),
"")</f>
        <v>0</v>
      </c>
      <c r="G393" s="73" t="str">
        <f t="shared" si="6"/>
        <v>UMK</v>
      </c>
    </row>
    <row r="394" spans="1:7" x14ac:dyDescent="0.35">
      <c r="A394" s="58" t="s">
        <v>241</v>
      </c>
      <c r="B394" s="5" cm="1">
        <f t="array" ref="B394">IFERROR(
INDEX([1]PMDN!$T$2:$T$436,
_xlfn.AGGREGATE(15,6,
(ROW([1]PMDN!$T$2:$T$436)-ROW([1]PMDN!$T$2)+1)/
([1]PMDN!$H$2:$H$436=$A394),
COUNTIF($A$3:$A394,$A394)
)),
"")</f>
        <v>0</v>
      </c>
      <c r="E394" s="58" t="s">
        <v>241</v>
      </c>
      <c r="F394" s="5" cm="1">
        <f t="array" ref="F394">IFERROR(
INDEX([1]PMDN!$T$2:$T$436,
_xlfn.AGGREGATE(15,6,
(ROW([1]PMDN!$T$2:$T$436)-ROW([1]PMDN!$T$2)+1)/
([1]PMDN!$H$2:$H$436=$E394),
COUNTIF($E$3:$E394,$E394)
)),
"")</f>
        <v>0</v>
      </c>
      <c r="G394" s="73" t="str">
        <f t="shared" si="6"/>
        <v>UMK</v>
      </c>
    </row>
    <row r="395" spans="1:7" x14ac:dyDescent="0.35">
      <c r="A395" s="58" t="s">
        <v>241</v>
      </c>
      <c r="B395" s="5" cm="1">
        <f t="array" ref="B395">IFERROR(
INDEX([1]PMDN!$T$2:$T$436,
_xlfn.AGGREGATE(15,6,
(ROW([1]PMDN!$T$2:$T$436)-ROW([1]PMDN!$T$2)+1)/
([1]PMDN!$H$2:$H$436=$A395),
COUNTIF($A$3:$A395,$A395)
)),
"")</f>
        <v>0</v>
      </c>
      <c r="E395" s="58" t="s">
        <v>241</v>
      </c>
      <c r="F395" s="5" cm="1">
        <f t="array" ref="F395">IFERROR(
INDEX([1]PMDN!$T$2:$T$436,
_xlfn.AGGREGATE(15,6,
(ROW([1]PMDN!$T$2:$T$436)-ROW([1]PMDN!$T$2)+1)/
([1]PMDN!$H$2:$H$436=$E395),
COUNTIF($E$3:$E395,$E395)
)),
"")</f>
        <v>0</v>
      </c>
      <c r="G395" s="73" t="str">
        <f t="shared" si="6"/>
        <v>UMK</v>
      </c>
    </row>
    <row r="396" spans="1:7" x14ac:dyDescent="0.35">
      <c r="A396" s="58" t="s">
        <v>241</v>
      </c>
      <c r="B396" s="5" cm="1">
        <f t="array" ref="B396">IFERROR(
INDEX([1]PMDN!$T$2:$T$436,
_xlfn.AGGREGATE(15,6,
(ROW([1]PMDN!$T$2:$T$436)-ROW([1]PMDN!$T$2)+1)/
([1]PMDN!$H$2:$H$436=$A396),
COUNTIF($A$3:$A396,$A396)
)),
"")</f>
        <v>0</v>
      </c>
      <c r="E396" s="58" t="s">
        <v>241</v>
      </c>
      <c r="F396" s="5" cm="1">
        <f t="array" ref="F396">IFERROR(
INDEX([1]PMDN!$T$2:$T$436,
_xlfn.AGGREGATE(15,6,
(ROW([1]PMDN!$T$2:$T$436)-ROW([1]PMDN!$T$2)+1)/
([1]PMDN!$H$2:$H$436=$E396),
COUNTIF($E$3:$E396,$E396)
)),
"")</f>
        <v>0</v>
      </c>
      <c r="G396" s="73" t="str">
        <f t="shared" si="6"/>
        <v>UMK</v>
      </c>
    </row>
    <row r="397" spans="1:7" x14ac:dyDescent="0.35">
      <c r="A397" s="58" t="s">
        <v>241</v>
      </c>
      <c r="B397" s="5" cm="1">
        <f t="array" ref="B397">IFERROR(
INDEX([1]PMDN!$T$2:$T$436,
_xlfn.AGGREGATE(15,6,
(ROW([1]PMDN!$T$2:$T$436)-ROW([1]PMDN!$T$2)+1)/
([1]PMDN!$H$2:$H$436=$A397),
COUNTIF($A$3:$A397,$A397)
)),
"")</f>
        <v>0</v>
      </c>
      <c r="E397" s="58" t="s">
        <v>241</v>
      </c>
      <c r="F397" s="5" cm="1">
        <f t="array" ref="F397">IFERROR(
INDEX([1]PMDN!$T$2:$T$436,
_xlfn.AGGREGATE(15,6,
(ROW([1]PMDN!$T$2:$T$436)-ROW([1]PMDN!$T$2)+1)/
([1]PMDN!$H$2:$H$436=$E397),
COUNTIF($E$3:$E397,$E397)
)),
"")</f>
        <v>0</v>
      </c>
      <c r="G397" s="73" t="str">
        <f t="shared" si="6"/>
        <v>UMK</v>
      </c>
    </row>
    <row r="398" spans="1:7" x14ac:dyDescent="0.35">
      <c r="A398" s="58" t="s">
        <v>241</v>
      </c>
      <c r="B398" s="5" cm="1">
        <f t="array" ref="B398">IFERROR(
INDEX([1]PMDN!$T$2:$T$436,
_xlfn.AGGREGATE(15,6,
(ROW([1]PMDN!$T$2:$T$436)-ROW([1]PMDN!$T$2)+1)/
([1]PMDN!$H$2:$H$436=$A398),
COUNTIF($A$3:$A398,$A398)
)),
"")</f>
        <v>0</v>
      </c>
      <c r="E398" s="58" t="s">
        <v>241</v>
      </c>
      <c r="F398" s="5" cm="1">
        <f t="array" ref="F398">IFERROR(
INDEX([1]PMDN!$T$2:$T$436,
_xlfn.AGGREGATE(15,6,
(ROW([1]PMDN!$T$2:$T$436)-ROW([1]PMDN!$T$2)+1)/
([1]PMDN!$H$2:$H$436=$E398),
COUNTIF($E$3:$E398,$E398)
)),
"")</f>
        <v>0</v>
      </c>
      <c r="G398" s="73" t="str">
        <f t="shared" si="6"/>
        <v>UMK</v>
      </c>
    </row>
    <row r="399" spans="1:7" x14ac:dyDescent="0.35">
      <c r="A399" s="58" t="s">
        <v>241</v>
      </c>
      <c r="B399" s="5" cm="1">
        <f t="array" ref="B399">IFERROR(
INDEX([1]PMDN!$T$2:$T$436,
_xlfn.AGGREGATE(15,6,
(ROW([1]PMDN!$T$2:$T$436)-ROW([1]PMDN!$T$2)+1)/
([1]PMDN!$H$2:$H$436=$A399),
COUNTIF($A$3:$A399,$A399)
)),
"")</f>
        <v>0</v>
      </c>
      <c r="E399" s="58" t="s">
        <v>241</v>
      </c>
      <c r="F399" s="5" cm="1">
        <f t="array" ref="F399">IFERROR(
INDEX([1]PMDN!$T$2:$T$436,
_xlfn.AGGREGATE(15,6,
(ROW([1]PMDN!$T$2:$T$436)-ROW([1]PMDN!$T$2)+1)/
([1]PMDN!$H$2:$H$436=$E399),
COUNTIF($E$3:$E399,$E399)
)),
"")</f>
        <v>0</v>
      </c>
      <c r="G399" s="73" t="str">
        <f t="shared" si="6"/>
        <v>UMK</v>
      </c>
    </row>
    <row r="400" spans="1:7" x14ac:dyDescent="0.35">
      <c r="A400" s="58" t="s">
        <v>95</v>
      </c>
      <c r="B400" s="5" cm="1">
        <f t="array" ref="B400">IFERROR(
INDEX([1]PMDN!$T$2:$T$436,
_xlfn.AGGREGATE(15,6,
(ROW([1]PMDN!$T$2:$T$436)-ROW([1]PMDN!$T$2)+1)/
([1]PMDN!$H$2:$H$436=$A400),
COUNTIF($A$3:$A400,$A400)
)),
"")</f>
        <v>0</v>
      </c>
      <c r="E400" s="58" t="s">
        <v>95</v>
      </c>
      <c r="F400" s="5" cm="1">
        <f t="array" ref="F400">IFERROR(
INDEX([1]PMDN!$T$2:$T$436,
_xlfn.AGGREGATE(15,6,
(ROW([1]PMDN!$T$2:$T$436)-ROW([1]PMDN!$T$2)+1)/
([1]PMDN!$H$2:$H$436=$E400),
COUNTIF($E$3:$E400,$E400)
)),
"")</f>
        <v>0</v>
      </c>
      <c r="G400" s="73" t="str">
        <f t="shared" si="6"/>
        <v>UMK</v>
      </c>
    </row>
    <row r="401" spans="1:7" x14ac:dyDescent="0.35">
      <c r="A401" s="58" t="s">
        <v>95</v>
      </c>
      <c r="B401" s="5" cm="1">
        <f t="array" ref="B401">IFERROR(
INDEX([1]PMDN!$T$2:$T$436,
_xlfn.AGGREGATE(15,6,
(ROW([1]PMDN!$T$2:$T$436)-ROW([1]PMDN!$T$2)+1)/
([1]PMDN!$H$2:$H$436=$A401),
COUNTIF($A$3:$A401,$A401)
)),
"")</f>
        <v>0</v>
      </c>
      <c r="E401" s="58" t="s">
        <v>95</v>
      </c>
      <c r="F401" s="5" cm="1">
        <f t="array" ref="F401">IFERROR(
INDEX([1]PMDN!$T$2:$T$436,
_xlfn.AGGREGATE(15,6,
(ROW([1]PMDN!$T$2:$T$436)-ROW([1]PMDN!$T$2)+1)/
([1]PMDN!$H$2:$H$436=$E401),
COUNTIF($E$3:$E401,$E401)
)),
"")</f>
        <v>0</v>
      </c>
      <c r="G401" s="73" t="str">
        <f t="shared" si="6"/>
        <v>UMK</v>
      </c>
    </row>
    <row r="402" spans="1:7" x14ac:dyDescent="0.35">
      <c r="A402" s="58" t="s">
        <v>95</v>
      </c>
      <c r="B402" s="5" cm="1">
        <f t="array" ref="B402">IFERROR(
INDEX([1]PMDN!$T$2:$T$436,
_xlfn.AGGREGATE(15,6,
(ROW([1]PMDN!$T$2:$T$436)-ROW([1]PMDN!$T$2)+1)/
([1]PMDN!$H$2:$H$436=$A402),
COUNTIF($A$3:$A402,$A402)
)),
"")</f>
        <v>0</v>
      </c>
      <c r="E402" s="58" t="s">
        <v>95</v>
      </c>
      <c r="F402" s="5" cm="1">
        <f t="array" ref="F402">IFERROR(
INDEX([1]PMDN!$T$2:$T$436,
_xlfn.AGGREGATE(15,6,
(ROW([1]PMDN!$T$2:$T$436)-ROW([1]PMDN!$T$2)+1)/
([1]PMDN!$H$2:$H$436=$E402),
COUNTIF($E$3:$E402,$E402)
)),
"")</f>
        <v>0</v>
      </c>
      <c r="G402" s="73" t="str">
        <f t="shared" si="6"/>
        <v>UMK</v>
      </c>
    </row>
    <row r="403" spans="1:7" x14ac:dyDescent="0.35">
      <c r="A403" s="58" t="s">
        <v>95</v>
      </c>
      <c r="B403" s="5" cm="1">
        <f t="array" ref="B403">IFERROR(
INDEX([1]PMDN!$T$2:$T$436,
_xlfn.AGGREGATE(15,6,
(ROW([1]PMDN!$T$2:$T$436)-ROW([1]PMDN!$T$2)+1)/
([1]PMDN!$H$2:$H$436=$A403),
COUNTIF($A$3:$A403,$A403)
)),
"")</f>
        <v>9200000000</v>
      </c>
      <c r="E403" s="58" t="s">
        <v>95</v>
      </c>
      <c r="F403" s="5" cm="1">
        <f t="array" ref="F403">IFERROR(
INDEX([1]PMDN!$T$2:$T$436,
_xlfn.AGGREGATE(15,6,
(ROW([1]PMDN!$T$2:$T$436)-ROW([1]PMDN!$T$2)+1)/
([1]PMDN!$H$2:$H$436=$E403),
COUNTIF($E$3:$E403,$E403)
)),
"")</f>
        <v>9200000000</v>
      </c>
      <c r="G403" s="73" t="str">
        <f t="shared" si="6"/>
        <v>Non-UMK</v>
      </c>
    </row>
    <row r="404" spans="1:7" x14ac:dyDescent="0.35">
      <c r="A404" s="58" t="s">
        <v>96</v>
      </c>
      <c r="B404" s="5" cm="1">
        <f t="array" ref="B404">IFERROR(
INDEX([1]PMDN!$T$2:$T$436,
_xlfn.AGGREGATE(15,6,
(ROW([1]PMDN!$T$2:$T$436)-ROW([1]PMDN!$T$2)+1)/
([1]PMDN!$H$2:$H$436=$A404),
COUNTIF($A$3:$A404,$A404)
)),
"")</f>
        <v>29661050458</v>
      </c>
      <c r="E404" s="58" t="s">
        <v>96</v>
      </c>
      <c r="F404" s="5" cm="1">
        <f t="array" ref="F404">IFERROR(
INDEX([1]PMDN!$T$2:$T$436,
_xlfn.AGGREGATE(15,6,
(ROW([1]PMDN!$T$2:$T$436)-ROW([1]PMDN!$T$2)+1)/
([1]PMDN!$H$2:$H$436=$E404),
COUNTIF($E$3:$E404,$E404)
)),
"")</f>
        <v>29661050458</v>
      </c>
      <c r="G404" s="73" t="str">
        <f t="shared" si="6"/>
        <v>Non-UMK</v>
      </c>
    </row>
    <row r="405" spans="1:7" x14ac:dyDescent="0.35">
      <c r="A405" s="58" t="s">
        <v>99</v>
      </c>
      <c r="B405" s="5" cm="1">
        <f t="array" ref="B405">IFERROR(
INDEX([1]PMDN!$T$2:$T$436,
_xlfn.AGGREGATE(15,6,
(ROW([1]PMDN!$T$2:$T$436)-ROW([1]PMDN!$T$2)+1)/
([1]PMDN!$H$2:$H$436=$A405),
COUNTIF($A$3:$A405,$A405)
)),
"")</f>
        <v>0</v>
      </c>
      <c r="E405" s="58" t="s">
        <v>99</v>
      </c>
      <c r="F405" s="5" cm="1">
        <f t="array" ref="F405">IFERROR(
INDEX([1]PMDN!$T$2:$T$436,
_xlfn.AGGREGATE(15,6,
(ROW([1]PMDN!$T$2:$T$436)-ROW([1]PMDN!$T$2)+1)/
([1]PMDN!$H$2:$H$436=$E405),
COUNTIF($E$3:$E405,$E405)
)),
"")</f>
        <v>0</v>
      </c>
      <c r="G405" s="73" t="str">
        <f t="shared" si="6"/>
        <v>UMK</v>
      </c>
    </row>
    <row r="406" spans="1:7" x14ac:dyDescent="0.35">
      <c r="A406" s="58" t="s">
        <v>104</v>
      </c>
      <c r="B406" s="5" cm="1">
        <f t="array" ref="B406">IFERROR(
INDEX([1]PMDN!$T$2:$T$436,
_xlfn.AGGREGATE(15,6,
(ROW([1]PMDN!$T$2:$T$436)-ROW([1]PMDN!$T$2)+1)/
([1]PMDN!$H$2:$H$436=$A406),
COUNTIF($A$3:$A406,$A406)
)),
"")</f>
        <v>0</v>
      </c>
      <c r="E406" s="58" t="s">
        <v>104</v>
      </c>
      <c r="F406" s="5" cm="1">
        <f t="array" ref="F406">IFERROR(
INDEX([1]PMDN!$T$2:$T$436,
_xlfn.AGGREGATE(15,6,
(ROW([1]PMDN!$T$2:$T$436)-ROW([1]PMDN!$T$2)+1)/
([1]PMDN!$H$2:$H$436=$E406),
COUNTIF($E$3:$E406,$E406)
)),
"")</f>
        <v>0</v>
      </c>
      <c r="G406" s="73" t="str">
        <f t="shared" si="6"/>
        <v>UMK</v>
      </c>
    </row>
    <row r="407" spans="1:7" x14ac:dyDescent="0.35">
      <c r="A407" s="58" t="s">
        <v>115</v>
      </c>
      <c r="B407" s="5" cm="1">
        <f t="array" ref="B407">IFERROR(
INDEX([1]PMDN!$T$2:$T$436,
_xlfn.AGGREGATE(15,6,
(ROW([1]PMDN!$T$2:$T$436)-ROW([1]PMDN!$T$2)+1)/
([1]PMDN!$H$2:$H$436=$A407),
COUNTIF($A$3:$A407,$A407)
)),
"")</f>
        <v>1488111164</v>
      </c>
      <c r="E407" s="58" t="s">
        <v>115</v>
      </c>
      <c r="F407" s="5" cm="1">
        <f t="array" ref="F407">IFERROR(
INDEX([1]PMDN!$T$2:$T$436,
_xlfn.AGGREGATE(15,6,
(ROW([1]PMDN!$T$2:$T$436)-ROW([1]PMDN!$T$2)+1)/
([1]PMDN!$H$2:$H$436=$E407),
COUNTIF($E$3:$E407,$E407)
)),
"")</f>
        <v>1488111164</v>
      </c>
      <c r="G407" s="73" t="str">
        <f t="shared" si="6"/>
        <v>UMK</v>
      </c>
    </row>
    <row r="408" spans="1:7" x14ac:dyDescent="0.35">
      <c r="A408" s="58" t="s">
        <v>117</v>
      </c>
      <c r="B408" s="5" cm="1">
        <f t="array" ref="B408">IFERROR(
INDEX([1]PMDN!$T$2:$T$436,
_xlfn.AGGREGATE(15,6,
(ROW([1]PMDN!$T$2:$T$436)-ROW([1]PMDN!$T$2)+1)/
([1]PMDN!$H$2:$H$436=$A408),
COUNTIF($A$3:$A408,$A408)
)),
"")</f>
        <v>886927296</v>
      </c>
      <c r="E408" s="58" t="s">
        <v>117</v>
      </c>
      <c r="F408" s="5" cm="1">
        <f t="array" ref="F408">IFERROR(
INDEX([1]PMDN!$T$2:$T$436,
_xlfn.AGGREGATE(15,6,
(ROW([1]PMDN!$T$2:$T$436)-ROW([1]PMDN!$T$2)+1)/
([1]PMDN!$H$2:$H$436=$E408),
COUNTIF($E$3:$E408,$E408)
)),
"")</f>
        <v>886927296</v>
      </c>
      <c r="G408" s="73" t="str">
        <f t="shared" si="6"/>
        <v>UMK</v>
      </c>
    </row>
    <row r="409" spans="1:7" x14ac:dyDescent="0.35">
      <c r="A409" s="58" t="s">
        <v>117</v>
      </c>
      <c r="B409" s="5" cm="1">
        <f t="array" ref="B409">IFERROR(
INDEX([1]PMDN!$T$2:$T$436,
_xlfn.AGGREGATE(15,6,
(ROW([1]PMDN!$T$2:$T$436)-ROW([1]PMDN!$T$2)+1)/
([1]PMDN!$H$2:$H$436=$A409),
COUNTIF($A$3:$A409,$A409)
)),
"")</f>
        <v>887737824</v>
      </c>
      <c r="E409" s="58" t="s">
        <v>117</v>
      </c>
      <c r="F409" s="5" cm="1">
        <f t="array" ref="F409">IFERROR(
INDEX([1]PMDN!$T$2:$T$436,
_xlfn.AGGREGATE(15,6,
(ROW([1]PMDN!$T$2:$T$436)-ROW([1]PMDN!$T$2)+1)/
([1]PMDN!$H$2:$H$436=$E409),
COUNTIF($E$3:$E409,$E409)
)),
"")</f>
        <v>887737824</v>
      </c>
      <c r="G409" s="73" t="str">
        <f t="shared" si="6"/>
        <v>UMK</v>
      </c>
    </row>
    <row r="410" spans="1:7" x14ac:dyDescent="0.35">
      <c r="A410" s="58" t="s">
        <v>117</v>
      </c>
      <c r="B410" s="5" cm="1">
        <f t="array" ref="B410">IFERROR(
INDEX([1]PMDN!$T$2:$T$436,
_xlfn.AGGREGATE(15,6,
(ROW([1]PMDN!$T$2:$T$436)-ROW([1]PMDN!$T$2)+1)/
([1]PMDN!$H$2:$H$436=$A410),
COUNTIF($A$3:$A410,$A410)
)),
"")</f>
        <v>49172780</v>
      </c>
      <c r="E410" s="58" t="s">
        <v>117</v>
      </c>
      <c r="F410" s="5" cm="1">
        <f t="array" ref="F410">IFERROR(
INDEX([1]PMDN!$T$2:$T$436,
_xlfn.AGGREGATE(15,6,
(ROW([1]PMDN!$T$2:$T$436)-ROW([1]PMDN!$T$2)+1)/
([1]PMDN!$H$2:$H$436=$E410),
COUNTIF($E$3:$E410,$E410)
)),
"")</f>
        <v>49172780</v>
      </c>
      <c r="G410" s="73" t="str">
        <f t="shared" si="6"/>
        <v>UMK</v>
      </c>
    </row>
    <row r="411" spans="1:7" x14ac:dyDescent="0.35">
      <c r="A411" s="58" t="s">
        <v>117</v>
      </c>
      <c r="B411" s="5" cm="1">
        <f t="array" ref="B411">IFERROR(
INDEX([1]PMDN!$T$2:$T$436,
_xlfn.AGGREGATE(15,6,
(ROW([1]PMDN!$T$2:$T$436)-ROW([1]PMDN!$T$2)+1)/
([1]PMDN!$H$2:$H$436=$A411),
COUNTIF($A$3:$A411,$A411)
)),
"")</f>
        <v>71848060</v>
      </c>
      <c r="E411" s="58" t="s">
        <v>117</v>
      </c>
      <c r="F411" s="5" cm="1">
        <f t="array" ref="F411">IFERROR(
INDEX([1]PMDN!$T$2:$T$436,
_xlfn.AGGREGATE(15,6,
(ROW([1]PMDN!$T$2:$T$436)-ROW([1]PMDN!$T$2)+1)/
([1]PMDN!$H$2:$H$436=$E411),
COUNTIF($E$3:$E411,$E411)
)),
"")</f>
        <v>71848060</v>
      </c>
      <c r="G411" s="73" t="str">
        <f t="shared" si="6"/>
        <v>UMK</v>
      </c>
    </row>
    <row r="412" spans="1:7" x14ac:dyDescent="0.35">
      <c r="A412" s="58" t="s">
        <v>117</v>
      </c>
      <c r="B412" s="5" cm="1">
        <f t="array" ref="B412">IFERROR(
INDEX([1]PMDN!$T$2:$T$436,
_xlfn.AGGREGATE(15,6,
(ROW([1]PMDN!$T$2:$T$436)-ROW([1]PMDN!$T$2)+1)/
([1]PMDN!$H$2:$H$436=$A412),
COUNTIF($A$3:$A412,$A412)
)),
"")</f>
        <v>28886628</v>
      </c>
      <c r="E412" s="58" t="s">
        <v>117</v>
      </c>
      <c r="F412" s="5" cm="1">
        <f t="array" ref="F412">IFERROR(
INDEX([1]PMDN!$T$2:$T$436,
_xlfn.AGGREGATE(15,6,
(ROW([1]PMDN!$T$2:$T$436)-ROW([1]PMDN!$T$2)+1)/
([1]PMDN!$H$2:$H$436=$E412),
COUNTIF($E$3:$E412,$E412)
)),
"")</f>
        <v>28886628</v>
      </c>
      <c r="G412" s="73" t="str">
        <f t="shared" si="6"/>
        <v>UMK</v>
      </c>
    </row>
    <row r="413" spans="1:7" x14ac:dyDescent="0.35">
      <c r="A413" s="58" t="s">
        <v>117</v>
      </c>
      <c r="B413" s="5" cm="1">
        <f t="array" ref="B413">IFERROR(
INDEX([1]PMDN!$T$2:$T$436,
_xlfn.AGGREGATE(15,6,
(ROW([1]PMDN!$T$2:$T$436)-ROW([1]PMDN!$T$2)+1)/
([1]PMDN!$H$2:$H$436=$A413),
COUNTIF($A$3:$A413,$A413)
)),
"")</f>
        <v>747056879</v>
      </c>
      <c r="E413" s="58" t="s">
        <v>117</v>
      </c>
      <c r="F413" s="5" cm="1">
        <f t="array" ref="F413">IFERROR(
INDEX([1]PMDN!$T$2:$T$436,
_xlfn.AGGREGATE(15,6,
(ROW([1]PMDN!$T$2:$T$436)-ROW([1]PMDN!$T$2)+1)/
([1]PMDN!$H$2:$H$436=$E413),
COUNTIF($E$3:$E413,$E413)
)),
"")</f>
        <v>747056879</v>
      </c>
      <c r="G413" s="73" t="str">
        <f t="shared" si="6"/>
        <v>UMK</v>
      </c>
    </row>
    <row r="414" spans="1:7" x14ac:dyDescent="0.35">
      <c r="A414" s="58" t="s">
        <v>117</v>
      </c>
      <c r="B414" s="5" cm="1">
        <f t="array" ref="B414">IFERROR(
INDEX([1]PMDN!$T$2:$T$436,
_xlfn.AGGREGATE(15,6,
(ROW([1]PMDN!$T$2:$T$436)-ROW([1]PMDN!$T$2)+1)/
([1]PMDN!$H$2:$H$436=$A414),
COUNTIF($A$3:$A414,$A414)
)),
"")</f>
        <v>620880075</v>
      </c>
      <c r="E414" s="58" t="s">
        <v>117</v>
      </c>
      <c r="F414" s="5" cm="1">
        <f t="array" ref="F414">IFERROR(
INDEX([1]PMDN!$T$2:$T$436,
_xlfn.AGGREGATE(15,6,
(ROW([1]PMDN!$T$2:$T$436)-ROW([1]PMDN!$T$2)+1)/
([1]PMDN!$H$2:$H$436=$E414),
COUNTIF($E$3:$E414,$E414)
)),
"")</f>
        <v>620880075</v>
      </c>
      <c r="G414" s="73" t="str">
        <f t="shared" si="6"/>
        <v>UMK</v>
      </c>
    </row>
    <row r="415" spans="1:7" x14ac:dyDescent="0.35">
      <c r="A415" s="58" t="s">
        <v>117</v>
      </c>
      <c r="B415" s="5" cm="1">
        <f t="array" ref="B415">IFERROR(
INDEX([1]PMDN!$T$2:$T$436,
_xlfn.AGGREGATE(15,6,
(ROW([1]PMDN!$T$2:$T$436)-ROW([1]PMDN!$T$2)+1)/
([1]PMDN!$H$2:$H$436=$A415),
COUNTIF($A$3:$A415,$A415)
)),
"")</f>
        <v>118010397</v>
      </c>
      <c r="E415" s="58" t="s">
        <v>117</v>
      </c>
      <c r="F415" s="5" cm="1">
        <f t="array" ref="F415">IFERROR(
INDEX([1]PMDN!$T$2:$T$436,
_xlfn.AGGREGATE(15,6,
(ROW([1]PMDN!$T$2:$T$436)-ROW([1]PMDN!$T$2)+1)/
([1]PMDN!$H$2:$H$436=$E415),
COUNTIF($E$3:$E415,$E415)
)),
"")</f>
        <v>118010397</v>
      </c>
      <c r="G415" s="73" t="str">
        <f t="shared" si="6"/>
        <v>UMK</v>
      </c>
    </row>
    <row r="416" spans="1:7" x14ac:dyDescent="0.35">
      <c r="A416" s="58" t="s">
        <v>117</v>
      </c>
      <c r="B416" s="5" cm="1">
        <f t="array" ref="B416">IFERROR(
INDEX([1]PMDN!$T$2:$T$436,
_xlfn.AGGREGATE(15,6,
(ROW([1]PMDN!$T$2:$T$436)-ROW([1]PMDN!$T$2)+1)/
([1]PMDN!$H$2:$H$436=$A416),
COUNTIF($A$3:$A416,$A416)
)),
"")</f>
        <v>19022659</v>
      </c>
      <c r="E416" s="58" t="s">
        <v>117</v>
      </c>
      <c r="F416" s="5" cm="1">
        <f t="array" ref="F416">IFERROR(
INDEX([1]PMDN!$T$2:$T$436,
_xlfn.AGGREGATE(15,6,
(ROW([1]PMDN!$T$2:$T$436)-ROW([1]PMDN!$T$2)+1)/
([1]PMDN!$H$2:$H$436=$E416),
COUNTIF($E$3:$E416,$E416)
)),
"")</f>
        <v>19022659</v>
      </c>
      <c r="G416" s="73" t="str">
        <f t="shared" si="6"/>
        <v>UMK</v>
      </c>
    </row>
    <row r="417" spans="1:7" x14ac:dyDescent="0.35">
      <c r="A417" s="58" t="s">
        <v>118</v>
      </c>
      <c r="B417" s="5" cm="1">
        <f t="array" ref="B417">IFERROR(
INDEX([1]PMDN!$T$2:$T$436,
_xlfn.AGGREGATE(15,6,
(ROW([1]PMDN!$T$2:$T$436)-ROW([1]PMDN!$T$2)+1)/
([1]PMDN!$H$2:$H$436=$A417),
COUNTIF($A$3:$A417,$A417)
)),
"")</f>
        <v>1313360504</v>
      </c>
      <c r="E417" s="58" t="s">
        <v>118</v>
      </c>
      <c r="F417" s="5" cm="1">
        <f t="array" ref="F417">IFERROR(
INDEX([1]PMDN!$T$2:$T$436,
_xlfn.AGGREGATE(15,6,
(ROW([1]PMDN!$T$2:$T$436)-ROW([1]PMDN!$T$2)+1)/
([1]PMDN!$H$2:$H$436=$E417),
COUNTIF($E$3:$E417,$E417)
)),
"")</f>
        <v>1313360504</v>
      </c>
      <c r="G417" s="73" t="str">
        <f t="shared" si="6"/>
        <v>UMK</v>
      </c>
    </row>
    <row r="418" spans="1:7" x14ac:dyDescent="0.35">
      <c r="A418" s="58" t="s">
        <v>118</v>
      </c>
      <c r="B418" s="5" cm="1">
        <f t="array" ref="B418">IFERROR(
INDEX([1]PMDN!$T$2:$T$436,
_xlfn.AGGREGATE(15,6,
(ROW([1]PMDN!$T$2:$T$436)-ROW([1]PMDN!$T$2)+1)/
([1]PMDN!$H$2:$H$436=$A418),
COUNTIF($A$3:$A418,$A418)
)),
"")</f>
        <v>82243109</v>
      </c>
      <c r="E418" s="58" t="s">
        <v>118</v>
      </c>
      <c r="F418" s="5" cm="1">
        <f t="array" ref="F418">IFERROR(
INDEX([1]PMDN!$T$2:$T$436,
_xlfn.AGGREGATE(15,6,
(ROW([1]PMDN!$T$2:$T$436)-ROW([1]PMDN!$T$2)+1)/
([1]PMDN!$H$2:$H$436=$E418),
COUNTIF($E$3:$E418,$E418)
)),
"")</f>
        <v>82243109</v>
      </c>
      <c r="G418" s="73" t="str">
        <f t="shared" si="6"/>
        <v>UMK</v>
      </c>
    </row>
    <row r="419" spans="1:7" x14ac:dyDescent="0.35">
      <c r="A419" s="58" t="s">
        <v>118</v>
      </c>
      <c r="B419" s="5" cm="1">
        <f t="array" ref="B419">IFERROR(
INDEX([1]PMDN!$T$2:$T$436,
_xlfn.AGGREGATE(15,6,
(ROW([1]PMDN!$T$2:$T$436)-ROW([1]PMDN!$T$2)+1)/
([1]PMDN!$H$2:$H$436=$A419),
COUNTIF($A$3:$A419,$A419)
)),
"")</f>
        <v>104943109</v>
      </c>
      <c r="E419" s="58" t="s">
        <v>118</v>
      </c>
      <c r="F419" s="5" cm="1">
        <f t="array" ref="F419">IFERROR(
INDEX([1]PMDN!$T$2:$T$436,
_xlfn.AGGREGATE(15,6,
(ROW([1]PMDN!$T$2:$T$436)-ROW([1]PMDN!$T$2)+1)/
([1]PMDN!$H$2:$H$436=$E419),
COUNTIF($E$3:$E419,$E419)
)),
"")</f>
        <v>104943109</v>
      </c>
      <c r="G419" s="73" t="str">
        <f t="shared" si="6"/>
        <v>UMK</v>
      </c>
    </row>
    <row r="420" spans="1:7" x14ac:dyDescent="0.35">
      <c r="A420" s="58" t="s">
        <v>101</v>
      </c>
      <c r="B420" s="5" cm="1">
        <f t="array" ref="B420">IFERROR(
INDEX([1]PMDN!$T$2:$T$436,
_xlfn.AGGREGATE(15,6,
(ROW([1]PMDN!$T$2:$T$436)-ROW([1]PMDN!$T$2)+1)/
([1]PMDN!$H$2:$H$436=$A420),
COUNTIF($A$3:$A420,$A420)
)),
"")</f>
        <v>0</v>
      </c>
      <c r="E420" s="58" t="s">
        <v>101</v>
      </c>
      <c r="F420" s="5" cm="1">
        <f t="array" ref="F420">IFERROR(
INDEX([1]PMDN!$T$2:$T$436,
_xlfn.AGGREGATE(15,6,
(ROW([1]PMDN!$T$2:$T$436)-ROW([1]PMDN!$T$2)+1)/
([1]PMDN!$H$2:$H$436=$E420),
COUNTIF($E$3:$E420,$E420)
)),
"")</f>
        <v>0</v>
      </c>
      <c r="G420" s="73" t="str">
        <f t="shared" si="6"/>
        <v>UMK</v>
      </c>
    </row>
    <row r="421" spans="1:7" x14ac:dyDescent="0.35">
      <c r="A421" s="58" t="s">
        <v>105</v>
      </c>
      <c r="B421" s="5" cm="1">
        <f t="array" ref="B421">IFERROR(
INDEX([1]PMDN!$T$2:$T$436,
_xlfn.AGGREGATE(15,6,
(ROW([1]PMDN!$T$2:$T$436)-ROW([1]PMDN!$T$2)+1)/
([1]PMDN!$H$2:$H$436=$A421),
COUNTIF($A$3:$A421,$A421)
)),
"")</f>
        <v>0</v>
      </c>
      <c r="E421" s="58" t="s">
        <v>105</v>
      </c>
      <c r="F421" s="5" cm="1">
        <f t="array" ref="F421">IFERROR(
INDEX([1]PMDN!$T$2:$T$436,
_xlfn.AGGREGATE(15,6,
(ROW([1]PMDN!$T$2:$T$436)-ROW([1]PMDN!$T$2)+1)/
([1]PMDN!$H$2:$H$436=$E421),
COUNTIF($E$3:$E421,$E421)
)),
"")</f>
        <v>0</v>
      </c>
      <c r="G421" s="73" t="str">
        <f t="shared" si="6"/>
        <v>UMK</v>
      </c>
    </row>
    <row r="422" spans="1:7" x14ac:dyDescent="0.35">
      <c r="A422" s="58" t="s">
        <v>107</v>
      </c>
      <c r="B422" s="5" cm="1">
        <f t="array" ref="B422">IFERROR(
INDEX([1]PMDN!$T$2:$T$436,
_xlfn.AGGREGATE(15,6,
(ROW([1]PMDN!$T$2:$T$436)-ROW([1]PMDN!$T$2)+1)/
([1]PMDN!$H$2:$H$436=$A422),
COUNTIF($A$3:$A422,$A422)
)),
"")</f>
        <v>25860138089</v>
      </c>
      <c r="E422" s="58" t="s">
        <v>107</v>
      </c>
      <c r="F422" s="5" cm="1">
        <f t="array" ref="F422">IFERROR(
INDEX([1]PMDN!$T$2:$T$436,
_xlfn.AGGREGATE(15,6,
(ROW([1]PMDN!$T$2:$T$436)-ROW([1]PMDN!$T$2)+1)/
([1]PMDN!$H$2:$H$436=$E422),
COUNTIF($E$3:$E422,$E422)
)),
"")</f>
        <v>25860138089</v>
      </c>
      <c r="G422" s="73" t="str">
        <f t="shared" si="6"/>
        <v>Non-UMK</v>
      </c>
    </row>
    <row r="423" spans="1:7" x14ac:dyDescent="0.35">
      <c r="A423" s="58" t="s">
        <v>111</v>
      </c>
      <c r="B423" s="5" cm="1">
        <f t="array" ref="B423">IFERROR(
INDEX([1]PMDN!$T$2:$T$436,
_xlfn.AGGREGATE(15,6,
(ROW([1]PMDN!$T$2:$T$436)-ROW([1]PMDN!$T$2)+1)/
([1]PMDN!$H$2:$H$436=$A423),
COUNTIF($A$3:$A423,$A423)
)),
"")</f>
        <v>9044710127</v>
      </c>
      <c r="E423" s="58" t="s">
        <v>111</v>
      </c>
      <c r="F423" s="5" cm="1">
        <f t="array" ref="F423">IFERROR(
INDEX([1]PMDN!$T$2:$T$436,
_xlfn.AGGREGATE(15,6,
(ROW([1]PMDN!$T$2:$T$436)-ROW([1]PMDN!$T$2)+1)/
([1]PMDN!$H$2:$H$436=$E423),
COUNTIF($E$3:$E423,$E423)
)),
"")</f>
        <v>9044710127</v>
      </c>
      <c r="G423" s="73" t="str">
        <f t="shared" si="6"/>
        <v>Non-UMK</v>
      </c>
    </row>
    <row r="424" spans="1:7" x14ac:dyDescent="0.35">
      <c r="A424" s="58" t="s">
        <v>111</v>
      </c>
      <c r="B424" s="5" cm="1">
        <f t="array" ref="B424">IFERROR(
INDEX([1]PMDN!$T$2:$T$436,
_xlfn.AGGREGATE(15,6,
(ROW([1]PMDN!$T$2:$T$436)-ROW([1]PMDN!$T$2)+1)/
([1]PMDN!$H$2:$H$436=$A424),
COUNTIF($A$3:$A424,$A424)
)),
"")</f>
        <v>167651444197</v>
      </c>
      <c r="E424" s="58" t="s">
        <v>111</v>
      </c>
      <c r="F424" s="5" cm="1">
        <f t="array" ref="F424">IFERROR(
INDEX([1]PMDN!$T$2:$T$436,
_xlfn.AGGREGATE(15,6,
(ROW([1]PMDN!$T$2:$T$436)-ROW([1]PMDN!$T$2)+1)/
([1]PMDN!$H$2:$H$436=$E424),
COUNTIF($E$3:$E424,$E424)
)),
"")</f>
        <v>167651444197</v>
      </c>
      <c r="G424" s="73" t="str">
        <f t="shared" si="6"/>
        <v>Non-UMK</v>
      </c>
    </row>
    <row r="425" spans="1:7" x14ac:dyDescent="0.35">
      <c r="A425" s="58" t="s">
        <v>116</v>
      </c>
      <c r="B425" s="5" cm="1">
        <f t="array" ref="B425">IFERROR(
INDEX([1]PMDN!$T$2:$T$436,
_xlfn.AGGREGATE(15,6,
(ROW([1]PMDN!$T$2:$T$436)-ROW([1]PMDN!$T$2)+1)/
([1]PMDN!$H$2:$H$436=$A425),
COUNTIF($A$3:$A425,$A425)
)),
"")</f>
        <v>0</v>
      </c>
      <c r="E425" s="58" t="s">
        <v>116</v>
      </c>
      <c r="F425" s="5" cm="1">
        <f t="array" ref="F425">IFERROR(
INDEX([1]PMDN!$T$2:$T$436,
_xlfn.AGGREGATE(15,6,
(ROW([1]PMDN!$T$2:$T$436)-ROW([1]PMDN!$T$2)+1)/
([1]PMDN!$H$2:$H$436=$E425),
COUNTIF($E$3:$E425,$E425)
)),
"")</f>
        <v>0</v>
      </c>
      <c r="G425" s="73" t="str">
        <f t="shared" si="6"/>
        <v>UMK</v>
      </c>
    </row>
    <row r="426" spans="1:7" x14ac:dyDescent="0.35">
      <c r="A426" s="58" t="s">
        <v>116</v>
      </c>
      <c r="B426" s="5" cm="1">
        <f t="array" ref="B426">IFERROR(
INDEX([1]PMDN!$T$2:$T$436,
_xlfn.AGGREGATE(15,6,
(ROW([1]PMDN!$T$2:$T$436)-ROW([1]PMDN!$T$2)+1)/
([1]PMDN!$H$2:$H$436=$A426),
COUNTIF($A$3:$A426,$A426)
)),
"")</f>
        <v>0</v>
      </c>
      <c r="E426" s="58" t="s">
        <v>116</v>
      </c>
      <c r="F426" s="5" cm="1">
        <f t="array" ref="F426">IFERROR(
INDEX([1]PMDN!$T$2:$T$436,
_xlfn.AGGREGATE(15,6,
(ROW([1]PMDN!$T$2:$T$436)-ROW([1]PMDN!$T$2)+1)/
([1]PMDN!$H$2:$H$436=$E426),
COUNTIF($E$3:$E426,$E426)
)),
"")</f>
        <v>0</v>
      </c>
      <c r="G426" s="73" t="str">
        <f t="shared" si="6"/>
        <v>UMK</v>
      </c>
    </row>
    <row r="427" spans="1:7" x14ac:dyDescent="0.35">
      <c r="A427" s="58" t="s">
        <v>54</v>
      </c>
      <c r="B427" s="5" cm="1">
        <f t="array" ref="B427">IFERROR(
INDEX([1]PMDN!$T$2:$T$436,
_xlfn.AGGREGATE(15,6,
(ROW([1]PMDN!$T$2:$T$436)-ROW([1]PMDN!$T$2)+1)/
([1]PMDN!$H$2:$H$436=$A427),
COUNTIF($A$3:$A427,$A427)
)),
"")</f>
        <v>0</v>
      </c>
      <c r="E427" s="58" t="s">
        <v>54</v>
      </c>
      <c r="F427" s="5" cm="1">
        <f t="array" ref="F427">IFERROR(
INDEX([1]PMDN!$T$2:$T$436,
_xlfn.AGGREGATE(15,6,
(ROW([1]PMDN!$T$2:$T$436)-ROW([1]PMDN!$T$2)+1)/
([1]PMDN!$H$2:$H$436=$E427),
COUNTIF($E$3:$E427,$E427)
)),
"")</f>
        <v>0</v>
      </c>
      <c r="G427" s="73" t="str">
        <f t="shared" si="6"/>
        <v>UMK</v>
      </c>
    </row>
    <row r="428" spans="1:7" x14ac:dyDescent="0.35">
      <c r="A428" s="58" t="s">
        <v>61</v>
      </c>
      <c r="B428" s="5" cm="1">
        <f t="array" ref="B428">IFERROR(
INDEX([1]PMDN!$T$2:$T$436,
_xlfn.AGGREGATE(15,6,
(ROW([1]PMDN!$T$2:$T$436)-ROW([1]PMDN!$T$2)+1)/
([1]PMDN!$H$2:$H$436=$A428),
COUNTIF($A$3:$A428,$A428)
)),
"")</f>
        <v>14648036266</v>
      </c>
      <c r="E428" s="58" t="s">
        <v>61</v>
      </c>
      <c r="F428" s="5" cm="1">
        <f t="array" ref="F428">IFERROR(
INDEX([1]PMDN!$T$2:$T$436,
_xlfn.AGGREGATE(15,6,
(ROW([1]PMDN!$T$2:$T$436)-ROW([1]PMDN!$T$2)+1)/
([1]PMDN!$H$2:$H$436=$E428),
COUNTIF($E$3:$E428,$E428)
)),
"")</f>
        <v>14648036266</v>
      </c>
      <c r="G428" s="73" t="str">
        <f t="shared" si="6"/>
        <v>Non-UMK</v>
      </c>
    </row>
    <row r="429" spans="1:7" x14ac:dyDescent="0.35">
      <c r="A429" s="58" t="s">
        <v>61</v>
      </c>
      <c r="B429" s="5" cm="1">
        <f t="array" ref="B429">IFERROR(
INDEX([1]PMDN!$T$2:$T$436,
_xlfn.AGGREGATE(15,6,
(ROW([1]PMDN!$T$2:$T$436)-ROW([1]PMDN!$T$2)+1)/
([1]PMDN!$H$2:$H$436=$A429),
COUNTIF($A$3:$A429,$A429)
)),
"")</f>
        <v>0</v>
      </c>
      <c r="E429" s="58" t="s">
        <v>61</v>
      </c>
      <c r="F429" s="5" cm="1">
        <f t="array" ref="F429">IFERROR(
INDEX([1]PMDN!$T$2:$T$436,
_xlfn.AGGREGATE(15,6,
(ROW([1]PMDN!$T$2:$T$436)-ROW([1]PMDN!$T$2)+1)/
([1]PMDN!$H$2:$H$436=$E429),
COUNTIF($E$3:$E429,$E429)
)),
"")</f>
        <v>0</v>
      </c>
      <c r="G429" s="73" t="str">
        <f t="shared" si="6"/>
        <v>UMK</v>
      </c>
    </row>
    <row r="430" spans="1:7" x14ac:dyDescent="0.35">
      <c r="A430" s="58" t="s">
        <v>61</v>
      </c>
      <c r="B430" s="5" cm="1">
        <f t="array" ref="B430">IFERROR(
INDEX([1]PMDN!$T$2:$T$436,
_xlfn.AGGREGATE(15,6,
(ROW([1]PMDN!$T$2:$T$436)-ROW([1]PMDN!$T$2)+1)/
([1]PMDN!$H$2:$H$436=$A430),
COUNTIF($A$3:$A430,$A430)
)),
"")</f>
        <v>0</v>
      </c>
      <c r="E430" s="58" t="s">
        <v>61</v>
      </c>
      <c r="F430" s="5" cm="1">
        <f t="array" ref="F430">IFERROR(
INDEX([1]PMDN!$T$2:$T$436,
_xlfn.AGGREGATE(15,6,
(ROW([1]PMDN!$T$2:$T$436)-ROW([1]PMDN!$T$2)+1)/
([1]PMDN!$H$2:$H$436=$E430),
COUNTIF($E$3:$E430,$E430)
)),
"")</f>
        <v>0</v>
      </c>
      <c r="G430" s="73" t="str">
        <f t="shared" si="6"/>
        <v>UMK</v>
      </c>
    </row>
    <row r="431" spans="1:7" x14ac:dyDescent="0.35">
      <c r="A431" s="58" t="s">
        <v>101</v>
      </c>
      <c r="B431" s="5" cm="1">
        <f t="array" ref="B431">IFERROR(
INDEX([1]PMDN!$T$2:$T$436,
_xlfn.AGGREGATE(15,6,
(ROW([1]PMDN!$T$2:$T$436)-ROW([1]PMDN!$T$2)+1)/
([1]PMDN!$H$2:$H$436=$A431),
COUNTIF($A$3:$A431,$A431)
)),
"")</f>
        <v>0</v>
      </c>
      <c r="E431" s="58" t="s">
        <v>101</v>
      </c>
      <c r="F431" s="5" cm="1">
        <f t="array" ref="F431">IFERROR(
INDEX([1]PMDN!$T$2:$T$436,
_xlfn.AGGREGATE(15,6,
(ROW([1]PMDN!$T$2:$T$436)-ROW([1]PMDN!$T$2)+1)/
([1]PMDN!$H$2:$H$436=$E431),
COUNTIF($E$3:$E431,$E431)
)),
"")</f>
        <v>0</v>
      </c>
      <c r="G431" s="73" t="str">
        <f t="shared" si="6"/>
        <v>UMK</v>
      </c>
    </row>
    <row r="432" spans="1:7" x14ac:dyDescent="0.35">
      <c r="A432" s="58" t="s">
        <v>102</v>
      </c>
      <c r="B432" s="5" cm="1">
        <f t="array" ref="B432">IFERROR(
INDEX([1]PMDN!$T$2:$T$436,
_xlfn.AGGREGATE(15,6,
(ROW([1]PMDN!$T$2:$T$436)-ROW([1]PMDN!$T$2)+1)/
([1]PMDN!$H$2:$H$436=$A432),
COUNTIF($A$3:$A432,$A432)
)),
"")</f>
        <v>836859374050</v>
      </c>
      <c r="E432" s="58" t="s">
        <v>102</v>
      </c>
      <c r="F432" s="5" cm="1">
        <f t="array" ref="F432">IFERROR(
INDEX([1]PMDN!$T$2:$T$436,
_xlfn.AGGREGATE(15,6,
(ROW([1]PMDN!$T$2:$T$436)-ROW([1]PMDN!$T$2)+1)/
([1]PMDN!$H$2:$H$436=$E432),
COUNTIF($E$3:$E432,$E432)
)),
"")</f>
        <v>836859374050</v>
      </c>
      <c r="G432" s="73" t="str">
        <f t="shared" si="6"/>
        <v>Non-UMK</v>
      </c>
    </row>
    <row r="433" spans="1:7" x14ac:dyDescent="0.35">
      <c r="A433" s="58" t="s">
        <v>102</v>
      </c>
      <c r="B433" s="5" cm="1">
        <f t="array" ref="B433">IFERROR(
INDEX([1]PMDN!$T$2:$T$436,
_xlfn.AGGREGATE(15,6,
(ROW([1]PMDN!$T$2:$T$436)-ROW([1]PMDN!$T$2)+1)/
([1]PMDN!$H$2:$H$436=$A433),
COUNTIF($A$3:$A433,$A433)
)),
"")</f>
        <v>425186598985</v>
      </c>
      <c r="E433" s="58" t="s">
        <v>102</v>
      </c>
      <c r="F433" s="5" cm="1">
        <f t="array" ref="F433">IFERROR(
INDEX([1]PMDN!$T$2:$T$436,
_xlfn.AGGREGATE(15,6,
(ROW([1]PMDN!$T$2:$T$436)-ROW([1]PMDN!$T$2)+1)/
([1]PMDN!$H$2:$H$436=$E433),
COUNTIF($E$3:$E433,$E433)
)),
"")</f>
        <v>425186598985</v>
      </c>
      <c r="G433" s="73" t="str">
        <f t="shared" si="6"/>
        <v>Non-UMK</v>
      </c>
    </row>
    <row r="434" spans="1:7" x14ac:dyDescent="0.35">
      <c r="A434" s="58" t="s">
        <v>112</v>
      </c>
      <c r="B434" s="5" cm="1">
        <f t="array" ref="B434">IFERROR(
INDEX([1]PMDN!$T$2:$T$436,
_xlfn.AGGREGATE(15,6,
(ROW([1]PMDN!$T$2:$T$436)-ROW([1]PMDN!$T$2)+1)/
([1]PMDN!$H$2:$H$436=$A434),
COUNTIF($A$3:$A434,$A434)
)),
"")</f>
        <v>0</v>
      </c>
      <c r="E434" s="58" t="s">
        <v>112</v>
      </c>
      <c r="F434" s="5" cm="1">
        <f t="array" ref="F434">IFERROR(
INDEX([1]PMDN!$T$2:$T$436,
_xlfn.AGGREGATE(15,6,
(ROW([1]PMDN!$T$2:$T$436)-ROW([1]PMDN!$T$2)+1)/
([1]PMDN!$H$2:$H$436=$E434),
COUNTIF($E$3:$E434,$E434)
)),
"")</f>
        <v>0</v>
      </c>
      <c r="G434" s="73" t="str">
        <f t="shared" si="6"/>
        <v>UMK</v>
      </c>
    </row>
    <row r="435" spans="1:7" x14ac:dyDescent="0.35">
      <c r="A435" s="58" t="s">
        <v>116</v>
      </c>
      <c r="B435" s="5" cm="1">
        <f t="array" ref="B435">IFERROR(
INDEX([1]PMDN!$T$2:$T$436,
_xlfn.AGGREGATE(15,6,
(ROW([1]PMDN!$T$2:$T$436)-ROW([1]PMDN!$T$2)+1)/
([1]PMDN!$H$2:$H$436=$A435),
COUNTIF($A$3:$A435,$A435)
)),
"")</f>
        <v>0</v>
      </c>
      <c r="E435" s="58" t="s">
        <v>116</v>
      </c>
      <c r="F435" s="5" cm="1">
        <f t="array" ref="F435">IFERROR(
INDEX([1]PMDN!$T$2:$T$436,
_xlfn.AGGREGATE(15,6,
(ROW([1]PMDN!$T$2:$T$436)-ROW([1]PMDN!$T$2)+1)/
([1]PMDN!$H$2:$H$436=$E435),
COUNTIF($E$3:$E435,$E435)
)),
"")</f>
        <v>0</v>
      </c>
      <c r="G435" s="73" t="str">
        <f t="shared" si="6"/>
        <v>UMK</v>
      </c>
    </row>
    <row r="436" spans="1:7" x14ac:dyDescent="0.35">
      <c r="A436" s="58" t="s">
        <v>229</v>
      </c>
      <c r="B436" s="5" cm="1">
        <f t="array" ref="B436">IFERROR(
INDEX([1]PMDN!$T$2:$T$436,
_xlfn.AGGREGATE(15,6,
(ROW([1]PMDN!$T$2:$T$436)-ROW([1]PMDN!$T$2)+1)/
([1]PMDN!$H$2:$H$436=$A436),
COUNTIF($A$3:$A436,$A436)
)),
"")</f>
        <v>755345741</v>
      </c>
      <c r="E436" s="58" t="s">
        <v>229</v>
      </c>
      <c r="F436" s="5" cm="1">
        <f t="array" ref="F436">IFERROR(
INDEX([1]PMDN!$T$2:$T$436,
_xlfn.AGGREGATE(15,6,
(ROW([1]PMDN!$T$2:$T$436)-ROW([1]PMDN!$T$2)+1)/
([1]PMDN!$H$2:$H$436=$E436),
COUNTIF($E$3:$E436,$E436)
)),
"")</f>
        <v>755345741</v>
      </c>
      <c r="G436" s="73" t="str">
        <f t="shared" si="6"/>
        <v>UMK</v>
      </c>
    </row>
    <row r="437" spans="1:7" x14ac:dyDescent="0.35">
      <c r="A437" s="58" t="s">
        <v>113</v>
      </c>
      <c r="B437" s="5" cm="1">
        <f t="array" ref="B437">IFERROR(
INDEX([1]PMDN!$T$2:$T$436,
_xlfn.AGGREGATE(15,6,
(ROW([1]PMDN!$T$2:$T$436)-ROW([1]PMDN!$T$2)+1)/
([1]PMDN!$H$2:$H$436=$A437),
COUNTIF($A$3:$A437,$A437)
)),
"")</f>
        <v>9009386</v>
      </c>
      <c r="E437" s="58" t="s">
        <v>113</v>
      </c>
      <c r="F437" s="5" cm="1">
        <f t="array" ref="F437">IFERROR(
INDEX([1]PMDN!$T$2:$T$436,
_xlfn.AGGREGATE(15,6,
(ROW([1]PMDN!$T$2:$T$436)-ROW([1]PMDN!$T$2)+1)/
([1]PMDN!$H$2:$H$436=$E437),
COUNTIF($E$3:$E437,$E437)
)),
"")</f>
        <v>9009386</v>
      </c>
      <c r="G437" s="73" t="str">
        <f t="shared" si="6"/>
        <v>UMK</v>
      </c>
    </row>
    <row r="438" spans="1:7" x14ac:dyDescent="0.35">
      <c r="A438" s="56" t="s">
        <v>216</v>
      </c>
      <c r="B438" s="67">
        <f>SUM(B3:B437)</f>
        <v>16350571119096</v>
      </c>
      <c r="E438" s="51" t="s">
        <v>216</v>
      </c>
      <c r="F438" s="44">
        <f>SUM(F3:F437)</f>
        <v>16350571119096</v>
      </c>
      <c r="G438" s="87"/>
    </row>
  </sheetData>
  <sortState xmlns:xlrd2="http://schemas.microsoft.com/office/spreadsheetml/2017/richdata2" ref="E3:E929">
    <sortCondition ref="E3:E929"/>
  </sortState>
  <mergeCells count="3">
    <mergeCell ref="I2:J3"/>
    <mergeCell ref="A1:B1"/>
    <mergeCell ref="E1:G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890F-9835-4FF7-9120-61405A32FC40}">
  <sheetPr>
    <tabColor theme="9"/>
  </sheetPr>
  <dimension ref="A3:C18"/>
  <sheetViews>
    <sheetView zoomScale="63" workbookViewId="0">
      <selection activeCell="D15" sqref="D15"/>
    </sheetView>
  </sheetViews>
  <sheetFormatPr defaultRowHeight="14.5" x14ac:dyDescent="0.35"/>
  <cols>
    <col min="1" max="1" width="31" customWidth="1"/>
    <col min="2" max="2" width="10.26953125" customWidth="1"/>
  </cols>
  <sheetData>
    <row r="3" spans="1:3" x14ac:dyDescent="0.35">
      <c r="A3" s="68" t="s">
        <v>146</v>
      </c>
      <c r="B3" s="68" t="s">
        <v>147</v>
      </c>
    </row>
    <row r="4" spans="1:3" x14ac:dyDescent="0.35">
      <c r="A4" s="1" t="s">
        <v>145</v>
      </c>
      <c r="B4" s="1">
        <f>SUMIF([1]PMA!$U$2:$U$21,A4,
[1]PMA!$W$2:$W$21
)</f>
        <v>7</v>
      </c>
    </row>
    <row r="5" spans="1:3" x14ac:dyDescent="0.35">
      <c r="A5" s="1" t="s">
        <v>143</v>
      </c>
      <c r="B5" s="1">
        <f>SUMIF([1]PMA!$U$2:$U$21,A5,
[1]PMA!$W$2:$W$21
)</f>
        <v>11</v>
      </c>
    </row>
    <row r="6" spans="1:3" x14ac:dyDescent="0.35">
      <c r="A6" s="1" t="s">
        <v>144</v>
      </c>
      <c r="B6" s="1">
        <f>SUMIF([1]PMA!$U$2:$U$21,A6,
[1]PMA!$W$2:$W$21
)</f>
        <v>1</v>
      </c>
    </row>
    <row r="7" spans="1:3" x14ac:dyDescent="0.35">
      <c r="A7" s="1" t="s">
        <v>179</v>
      </c>
      <c r="B7" s="1">
        <f>SUMIF([1]PMA!$U$2:$U$21,A7,
[1]PMA!$W$2:$W$21
)</f>
        <v>1</v>
      </c>
    </row>
    <row r="8" spans="1:3" x14ac:dyDescent="0.35">
      <c r="A8" s="51" t="s">
        <v>216</v>
      </c>
      <c r="B8" s="51">
        <f>SUM(B4:B7)</f>
        <v>20</v>
      </c>
      <c r="C8" t="s">
        <v>188</v>
      </c>
    </row>
    <row r="11" spans="1:3" x14ac:dyDescent="0.35">
      <c r="A11" s="95" t="s">
        <v>178</v>
      </c>
      <c r="B11" s="95"/>
    </row>
    <row r="13" spans="1:3" x14ac:dyDescent="0.35">
      <c r="A13" s="68" t="s">
        <v>146</v>
      </c>
      <c r="B13" s="68" t="s">
        <v>147</v>
      </c>
    </row>
    <row r="14" spans="1:3" x14ac:dyDescent="0.35">
      <c r="A14" s="1" t="s">
        <v>145</v>
      </c>
      <c r="B14" s="1">
        <f>SUMIF([1]PMA!$U$2:$U$21,A14,
[1]PMA!$W$2:$W$21
)</f>
        <v>7</v>
      </c>
    </row>
    <row r="15" spans="1:3" x14ac:dyDescent="0.35">
      <c r="A15" s="1" t="s">
        <v>143</v>
      </c>
      <c r="B15" s="1">
        <f>SUMIF([1]PMA!$U$2:$U$21,A15,
[1]PMA!$W$2:$W$21
)</f>
        <v>11</v>
      </c>
    </row>
    <row r="16" spans="1:3" x14ac:dyDescent="0.35">
      <c r="A16" s="1" t="s">
        <v>144</v>
      </c>
      <c r="B16" s="1">
        <f>SUMIF([1]PMA!$U$2:$U$21,A16,
[1]PMA!$W$2:$W$21
)</f>
        <v>1</v>
      </c>
    </row>
    <row r="17" spans="1:2" x14ac:dyDescent="0.35">
      <c r="A17" s="1" t="s">
        <v>179</v>
      </c>
      <c r="B17" s="1">
        <f>SUMIF([1]PMA!$U$2:$U$21,A17,
[1]PMA!$W$2:$W$21
)</f>
        <v>1</v>
      </c>
    </row>
    <row r="18" spans="1:2" x14ac:dyDescent="0.35">
      <c r="A18" s="56" t="s">
        <v>216</v>
      </c>
      <c r="B18" s="56">
        <f>SUM(B14:B17)</f>
        <v>20</v>
      </c>
    </row>
  </sheetData>
  <sortState xmlns:xlrd2="http://schemas.microsoft.com/office/spreadsheetml/2017/richdata2" ref="A4:A27">
    <sortCondition ref="A4"/>
  </sortState>
  <mergeCells count="1">
    <mergeCell ref="A11:B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588E-C8B9-4BD2-BCE2-15B6E7A48910}">
  <sheetPr>
    <tabColor rgb="FF00B0F0"/>
  </sheetPr>
  <dimension ref="A2:C48"/>
  <sheetViews>
    <sheetView topLeftCell="A20" zoomScale="55" zoomScaleNormal="90" workbookViewId="0">
      <selection activeCell="C44" sqref="C44"/>
    </sheetView>
  </sheetViews>
  <sheetFormatPr defaultRowHeight="14.5" x14ac:dyDescent="0.35"/>
  <cols>
    <col min="1" max="1" width="85.36328125" bestFit="1" customWidth="1"/>
    <col min="2" max="2" width="11" bestFit="1" customWidth="1"/>
    <col min="3" max="3" width="14" bestFit="1" customWidth="1"/>
  </cols>
  <sheetData>
    <row r="2" spans="1:3" x14ac:dyDescent="0.35">
      <c r="A2" t="s">
        <v>189</v>
      </c>
    </row>
    <row r="3" spans="1:3" x14ac:dyDescent="0.35">
      <c r="A3" s="43"/>
      <c r="B3" s="43" t="s">
        <v>188</v>
      </c>
      <c r="C3" s="43" t="s">
        <v>177</v>
      </c>
    </row>
    <row r="4" spans="1:3" x14ac:dyDescent="0.35">
      <c r="A4" s="1" t="s">
        <v>150</v>
      </c>
      <c r="B4" s="1">
        <f>COUNTIF([1]PMDN!$F$2:$F$436, A4)</f>
        <v>9</v>
      </c>
      <c r="C4" s="1">
        <f>B4</f>
        <v>9</v>
      </c>
    </row>
    <row r="5" spans="1:3" x14ac:dyDescent="0.35">
      <c r="A5" s="1" t="s">
        <v>158</v>
      </c>
      <c r="B5" s="1">
        <f>COUNTIF([1]PMDN!$F$2:$F$436, A5)</f>
        <v>1</v>
      </c>
      <c r="C5" s="1">
        <f t="shared" ref="C5:C20" si="0">B5</f>
        <v>1</v>
      </c>
    </row>
    <row r="6" spans="1:3" x14ac:dyDescent="0.35">
      <c r="A6" s="1" t="s">
        <v>162</v>
      </c>
      <c r="B6" s="1">
        <f>COUNTIF([1]PMDN!$F$2:$F$436, A6)</f>
        <v>1</v>
      </c>
      <c r="C6" s="1">
        <f t="shared" si="0"/>
        <v>1</v>
      </c>
    </row>
    <row r="7" spans="1:3" x14ac:dyDescent="0.35">
      <c r="A7" s="1" t="s">
        <v>167</v>
      </c>
      <c r="B7" s="1">
        <f>COUNTIF([1]PMDN!$F$2:$F$436, A7)</f>
        <v>0</v>
      </c>
      <c r="C7" s="1">
        <f t="shared" si="0"/>
        <v>0</v>
      </c>
    </row>
    <row r="8" spans="1:3" x14ac:dyDescent="0.35">
      <c r="A8" s="1" t="s">
        <v>166</v>
      </c>
      <c r="B8" s="1">
        <f>COUNTIF([1]PMDN!$F$2:$F$436, A8)</f>
        <v>1</v>
      </c>
      <c r="C8" s="1">
        <f t="shared" si="0"/>
        <v>1</v>
      </c>
    </row>
    <row r="9" spans="1:3" x14ac:dyDescent="0.35">
      <c r="A9" s="1" t="s">
        <v>164</v>
      </c>
      <c r="B9" s="1">
        <f>COUNTIF([1]PMDN!$F$2:$F$436, A9)</f>
        <v>0</v>
      </c>
      <c r="C9" s="1">
        <f t="shared" si="0"/>
        <v>0</v>
      </c>
    </row>
    <row r="10" spans="1:3" x14ac:dyDescent="0.35">
      <c r="A10" s="1" t="s">
        <v>152</v>
      </c>
      <c r="B10" s="1">
        <f>COUNTIF([1]PMDN!$F$2:$F$436, A10)</f>
        <v>5</v>
      </c>
      <c r="C10" s="1">
        <f t="shared" si="0"/>
        <v>5</v>
      </c>
    </row>
    <row r="11" spans="1:3" x14ac:dyDescent="0.35">
      <c r="A11" s="1" t="s">
        <v>163</v>
      </c>
      <c r="B11" s="1">
        <f>COUNTIF([1]PMDN!$F$2:$F$436, A11)</f>
        <v>1</v>
      </c>
      <c r="C11" s="1">
        <f t="shared" si="0"/>
        <v>1</v>
      </c>
    </row>
    <row r="12" spans="1:3" x14ac:dyDescent="0.35">
      <c r="A12" s="1" t="s">
        <v>165</v>
      </c>
      <c r="B12" s="1">
        <f>COUNTIF([1]PMDN!$F$2:$F$436, A12)</f>
        <v>1</v>
      </c>
      <c r="C12" s="1">
        <f t="shared" si="0"/>
        <v>1</v>
      </c>
    </row>
    <row r="13" spans="1:3" x14ac:dyDescent="0.35">
      <c r="A13" s="1" t="s">
        <v>157</v>
      </c>
      <c r="B13" s="1">
        <f>COUNTIF([1]PMDN!$F$2:$F$436, A13)</f>
        <v>16</v>
      </c>
      <c r="C13" s="1">
        <f t="shared" si="0"/>
        <v>16</v>
      </c>
    </row>
    <row r="14" spans="1:3" x14ac:dyDescent="0.35">
      <c r="A14" s="1" t="s">
        <v>168</v>
      </c>
      <c r="B14" s="1">
        <f>COUNTIF([1]PMDN!$F$2:$F$436, A14)</f>
        <v>0</v>
      </c>
      <c r="C14" s="1">
        <f t="shared" si="0"/>
        <v>0</v>
      </c>
    </row>
    <row r="15" spans="1:3" x14ac:dyDescent="0.35">
      <c r="A15" s="1" t="s">
        <v>148</v>
      </c>
      <c r="B15" s="1">
        <f>COUNTIF([1]PMDN!$F$2:$F$436, A15)</f>
        <v>33</v>
      </c>
      <c r="C15" s="1">
        <f t="shared" si="0"/>
        <v>33</v>
      </c>
    </row>
    <row r="16" spans="1:3" x14ac:dyDescent="0.35">
      <c r="A16" s="1" t="s">
        <v>159</v>
      </c>
      <c r="B16" s="1">
        <f>COUNTIF([1]PMDN!$F$2:$F$436, A16)</f>
        <v>2</v>
      </c>
      <c r="C16" s="1">
        <f t="shared" si="0"/>
        <v>2</v>
      </c>
    </row>
    <row r="17" spans="1:3" x14ac:dyDescent="0.35">
      <c r="A17" s="1" t="s">
        <v>156</v>
      </c>
      <c r="B17" s="1">
        <f>COUNTIF([1]PMDN!$F$2:$F$436, A17)</f>
        <v>72</v>
      </c>
      <c r="C17" s="1">
        <f t="shared" si="0"/>
        <v>72</v>
      </c>
    </row>
    <row r="18" spans="1:3" x14ac:dyDescent="0.35">
      <c r="A18" s="1" t="s">
        <v>161</v>
      </c>
      <c r="B18" s="1">
        <f>COUNTIF([1]PMDN!$F$2:$F$436, A18)</f>
        <v>8</v>
      </c>
      <c r="C18" s="1">
        <f t="shared" si="0"/>
        <v>8</v>
      </c>
    </row>
    <row r="19" spans="1:3" x14ac:dyDescent="0.35">
      <c r="A19" s="1" t="s">
        <v>155</v>
      </c>
      <c r="B19" s="1">
        <f>COUNTIF([1]PMDN!$F$2:$F$436, A19)</f>
        <v>115</v>
      </c>
      <c r="C19" s="1">
        <f t="shared" si="0"/>
        <v>115</v>
      </c>
    </row>
    <row r="20" spans="1:3" x14ac:dyDescent="0.35">
      <c r="A20" s="1" t="s">
        <v>160</v>
      </c>
      <c r="B20" s="1">
        <f>COUNTIF([1]PMDN!$F$2:$F$436, A20)</f>
        <v>1</v>
      </c>
      <c r="C20" s="1">
        <f t="shared" si="0"/>
        <v>1</v>
      </c>
    </row>
    <row r="21" spans="1:3" x14ac:dyDescent="0.35">
      <c r="A21" s="1" t="s">
        <v>149</v>
      </c>
      <c r="B21" s="1">
        <f>COUNTIF([1]PMDN!$F$2:$F$436, A21)</f>
        <v>72</v>
      </c>
      <c r="C21" s="1">
        <v>83</v>
      </c>
    </row>
    <row r="22" spans="1:3" x14ac:dyDescent="0.35">
      <c r="A22" s="1" t="s">
        <v>154</v>
      </c>
      <c r="B22" s="1">
        <f>COUNTIF([1]PMDN!$F$2:$F$436, A22)</f>
        <v>6</v>
      </c>
      <c r="C22" s="1">
        <f>B22</f>
        <v>6</v>
      </c>
    </row>
    <row r="23" spans="1:3" x14ac:dyDescent="0.35">
      <c r="A23" s="1" t="s">
        <v>153</v>
      </c>
      <c r="B23" s="1">
        <f>COUNTIF([1]PMDN!$F$2:$F$436, A23)</f>
        <v>28</v>
      </c>
      <c r="C23" s="1">
        <v>12</v>
      </c>
    </row>
    <row r="24" spans="1:3" x14ac:dyDescent="0.35">
      <c r="A24" s="1" t="s">
        <v>151</v>
      </c>
      <c r="B24" s="1">
        <f>COUNTIF([1]PMDN!$F$2:$F$436, A24)</f>
        <v>63</v>
      </c>
      <c r="C24" s="1">
        <f>B24</f>
        <v>63</v>
      </c>
    </row>
    <row r="25" spans="1:3" x14ac:dyDescent="0.35">
      <c r="A25" s="96" t="s">
        <v>216</v>
      </c>
      <c r="B25" s="97"/>
      <c r="C25" s="43">
        <f>SUM(C4:C24)</f>
        <v>430</v>
      </c>
    </row>
    <row r="27" spans="1:3" x14ac:dyDescent="0.35">
      <c r="A27" s="1" t="s">
        <v>155</v>
      </c>
      <c r="B27" s="1">
        <f>COUNTIF([1]PMDN!$F$2:$F$436, A27)</f>
        <v>115</v>
      </c>
      <c r="C27" s="1">
        <f>B27/C25*100</f>
        <v>26.744186046511626</v>
      </c>
    </row>
    <row r="28" spans="1:3" x14ac:dyDescent="0.35">
      <c r="A28" s="1" t="s">
        <v>156</v>
      </c>
      <c r="B28" s="1">
        <f>COUNTIF([1]PMDN!$F$2:$F$436, A28)</f>
        <v>72</v>
      </c>
      <c r="C28" s="1">
        <f>B28/C25*100</f>
        <v>16.744186046511629</v>
      </c>
    </row>
    <row r="29" spans="1:3" x14ac:dyDescent="0.35">
      <c r="A29" s="1" t="s">
        <v>151</v>
      </c>
      <c r="B29" s="1">
        <f>COUNTIF([1]PMDN!$F$2:$F$436, A29)</f>
        <v>63</v>
      </c>
      <c r="C29" s="1">
        <f>B29/C25*100</f>
        <v>14.651162790697676</v>
      </c>
    </row>
    <row r="30" spans="1:3" x14ac:dyDescent="0.35">
      <c r="A30" s="1" t="s">
        <v>149</v>
      </c>
      <c r="B30" s="1">
        <f>COUNTIF([1]PMDN!$F$2:$F$436, A30)</f>
        <v>72</v>
      </c>
      <c r="C30" s="1">
        <f>B30/C25*100</f>
        <v>16.744186046511629</v>
      </c>
    </row>
    <row r="31" spans="1:3" x14ac:dyDescent="0.35">
      <c r="A31" s="1" t="s">
        <v>148</v>
      </c>
      <c r="B31" s="1">
        <f>COUNTIF([1]PMDN!$F$2:$F$436, A31)</f>
        <v>33</v>
      </c>
      <c r="C31" s="1">
        <f t="shared" ref="C31" si="1">B31/C29*100</f>
        <v>225.23809523809524</v>
      </c>
    </row>
    <row r="32" spans="1:3" x14ac:dyDescent="0.35">
      <c r="A32" s="1" t="s">
        <v>150</v>
      </c>
      <c r="B32" s="1">
        <f>COUNTIF([1]PMDN!$F$2:$F$436, A32)</f>
        <v>9</v>
      </c>
      <c r="C32" s="1">
        <f>B32/C25*100</f>
        <v>2.0930232558139537</v>
      </c>
    </row>
    <row r="33" spans="1:3" x14ac:dyDescent="0.35">
      <c r="A33" s="1" t="s">
        <v>157</v>
      </c>
      <c r="B33" s="1">
        <f>COUNTIF([1]PMDN!$F$2:$F$436, A33)</f>
        <v>16</v>
      </c>
      <c r="C33" s="1">
        <f>B33/C25*100</f>
        <v>3.7209302325581395</v>
      </c>
    </row>
    <row r="34" spans="1:3" x14ac:dyDescent="0.35">
      <c r="A34" s="1" t="s">
        <v>161</v>
      </c>
      <c r="B34" s="1">
        <f>COUNTIF([1]PMDN!$F$2:$F$436, A34)</f>
        <v>8</v>
      </c>
      <c r="C34" s="1">
        <f>B34/C25*100</f>
        <v>1.8604651162790697</v>
      </c>
    </row>
    <row r="35" spans="1:3" x14ac:dyDescent="0.35">
      <c r="A35" s="1" t="s">
        <v>154</v>
      </c>
      <c r="B35" s="1">
        <f>COUNTIF([1]PMDN!$F$2:$F$436, A35)</f>
        <v>6</v>
      </c>
      <c r="C35" s="1">
        <f>B35/C25*100</f>
        <v>1.3953488372093024</v>
      </c>
    </row>
    <row r="36" spans="1:3" x14ac:dyDescent="0.35">
      <c r="A36" s="1" t="s">
        <v>153</v>
      </c>
      <c r="B36" s="1">
        <f>COUNTIF([1]PMDN!$F$2:$F$436, A36)</f>
        <v>28</v>
      </c>
      <c r="C36" s="1">
        <f>B36/C25*100</f>
        <v>6.5116279069767442</v>
      </c>
    </row>
    <row r="37" spans="1:3" x14ac:dyDescent="0.35">
      <c r="A37" s="1" t="s">
        <v>152</v>
      </c>
      <c r="B37" s="1">
        <f>COUNTIF([1]PMDN!$F$2:$F$436, A37)</f>
        <v>5</v>
      </c>
      <c r="C37" s="1">
        <f>B37/C25*100</f>
        <v>1.1627906976744187</v>
      </c>
    </row>
    <row r="38" spans="1:3" x14ac:dyDescent="0.35">
      <c r="A38" s="1" t="s">
        <v>163</v>
      </c>
      <c r="B38" s="1">
        <f>COUNTIF([1]PMDN!$F$2:$F$436, A38)</f>
        <v>1</v>
      </c>
      <c r="C38" s="1">
        <f>B38/C25*100</f>
        <v>0.23255813953488372</v>
      </c>
    </row>
    <row r="39" spans="1:3" x14ac:dyDescent="0.35">
      <c r="A39" s="1" t="s">
        <v>159</v>
      </c>
      <c r="B39" s="1">
        <f>COUNTIF([1]PMDN!$F$2:$F$436, A39)</f>
        <v>2</v>
      </c>
      <c r="C39" s="1">
        <f>B39/C25*100</f>
        <v>0.46511627906976744</v>
      </c>
    </row>
    <row r="40" spans="1:3" x14ac:dyDescent="0.35">
      <c r="A40" s="1" t="s">
        <v>160</v>
      </c>
      <c r="B40" s="1">
        <f>COUNTIF([1]PMDN!$F$2:$F$436, A40)</f>
        <v>1</v>
      </c>
      <c r="C40" s="1">
        <f>B40/C25*100</f>
        <v>0.23255813953488372</v>
      </c>
    </row>
    <row r="41" spans="1:3" x14ac:dyDescent="0.35">
      <c r="A41" s="1" t="s">
        <v>158</v>
      </c>
      <c r="B41" s="1">
        <f>COUNTIF([1]PMDN!$F$2:$F$436, A41)</f>
        <v>1</v>
      </c>
      <c r="C41" s="1">
        <f>B41/C25*100</f>
        <v>0.23255813953488372</v>
      </c>
    </row>
    <row r="42" spans="1:3" x14ac:dyDescent="0.35">
      <c r="A42" s="1" t="s">
        <v>162</v>
      </c>
      <c r="B42" s="1">
        <f>COUNTIF([1]PMDN!$F$2:$F$436, A42)</f>
        <v>1</v>
      </c>
      <c r="C42" s="1">
        <f>B42/C25*100</f>
        <v>0.23255813953488372</v>
      </c>
    </row>
    <row r="43" spans="1:3" x14ac:dyDescent="0.35">
      <c r="A43" s="1" t="s">
        <v>166</v>
      </c>
      <c r="B43" s="1">
        <f>COUNTIF([1]PMDN!$F$2:$F$436, A43)</f>
        <v>1</v>
      </c>
      <c r="C43" s="1">
        <f>B43/C25*100</f>
        <v>0.23255813953488372</v>
      </c>
    </row>
    <row r="44" spans="1:3" x14ac:dyDescent="0.35">
      <c r="A44" s="1" t="s">
        <v>167</v>
      </c>
      <c r="B44" s="1">
        <f>COUNTIF([1]PMDN!$F$2:$F$436, A44)</f>
        <v>0</v>
      </c>
      <c r="C44" s="1">
        <f>B44/C25*100</f>
        <v>0</v>
      </c>
    </row>
    <row r="45" spans="1:3" x14ac:dyDescent="0.35">
      <c r="A45" s="1" t="s">
        <v>164</v>
      </c>
      <c r="B45" s="1">
        <f>COUNTIF([1]PMDN!$F$2:$F$436, A45)</f>
        <v>0</v>
      </c>
      <c r="C45" s="1">
        <f>B45/C25*100</f>
        <v>0</v>
      </c>
    </row>
    <row r="46" spans="1:3" x14ac:dyDescent="0.35">
      <c r="A46" s="1" t="s">
        <v>165</v>
      </c>
      <c r="B46" s="1">
        <f>COUNTIF([1]PMDN!$F$2:$F$436, A46)</f>
        <v>1</v>
      </c>
      <c r="C46" s="1">
        <f>B46/C25*100</f>
        <v>0.23255813953488372</v>
      </c>
    </row>
    <row r="47" spans="1:3" x14ac:dyDescent="0.35">
      <c r="A47" s="1" t="s">
        <v>168</v>
      </c>
      <c r="B47" s="1">
        <f>COUNTIF([1]PMDN!$F$2:$F$436, A47)</f>
        <v>0</v>
      </c>
      <c r="C47" s="1">
        <f>B47/C25*100</f>
        <v>0</v>
      </c>
    </row>
    <row r="48" spans="1:3" x14ac:dyDescent="0.35">
      <c r="A48" s="98" t="s">
        <v>186</v>
      </c>
      <c r="B48" s="99"/>
      <c r="C48" s="43">
        <f>SUM(C27:C47)</f>
        <v>318.7264673311185</v>
      </c>
    </row>
  </sheetData>
  <sortState xmlns:xlrd2="http://schemas.microsoft.com/office/spreadsheetml/2017/richdata2" ref="A27:B48">
    <sortCondition descending="1" ref="B27"/>
  </sortState>
  <mergeCells count="2">
    <mergeCell ref="A25:B25"/>
    <mergeCell ref="A48:B4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0C8A-1ABB-4A75-8758-F1456B33B918}">
  <sheetPr>
    <tabColor rgb="FF00B0F0"/>
  </sheetPr>
  <dimension ref="A1:C28"/>
  <sheetViews>
    <sheetView zoomScale="65" workbookViewId="0">
      <selection activeCell="C3" sqref="C3"/>
    </sheetView>
  </sheetViews>
  <sheetFormatPr defaultRowHeight="14.5" x14ac:dyDescent="0.35"/>
  <cols>
    <col min="1" max="1" width="40.54296875" customWidth="1"/>
    <col min="3" max="3" width="11.81640625" bestFit="1" customWidth="1"/>
  </cols>
  <sheetData>
    <row r="1" spans="1:3" x14ac:dyDescent="0.35">
      <c r="A1" t="s">
        <v>190</v>
      </c>
    </row>
    <row r="2" spans="1:3" x14ac:dyDescent="0.35">
      <c r="A2" s="43"/>
      <c r="B2" s="43"/>
      <c r="C2" s="43" t="s">
        <v>178</v>
      </c>
    </row>
    <row r="3" spans="1:3" x14ac:dyDescent="0.35">
      <c r="A3" s="1" t="s">
        <v>150</v>
      </c>
      <c r="B3" s="1">
        <f>COUNTIF([1]PMA!$F$2:$F$436, A3)</f>
        <v>2</v>
      </c>
      <c r="C3" s="1">
        <f>B3</f>
        <v>2</v>
      </c>
    </row>
    <row r="4" spans="1:3" x14ac:dyDescent="0.35">
      <c r="A4" s="1" t="s">
        <v>167</v>
      </c>
      <c r="B4" s="1">
        <f>COUNTIF([1]PMA!$F$2:$F$436, A4)</f>
        <v>0</v>
      </c>
      <c r="C4" s="1">
        <f t="shared" ref="C4:C10" si="0">B4</f>
        <v>0</v>
      </c>
    </row>
    <row r="5" spans="1:3" x14ac:dyDescent="0.35">
      <c r="A5" s="1" t="s">
        <v>165</v>
      </c>
      <c r="B5" s="1">
        <f>COUNTIF([1]PMA!$F$2:$F$436, A5)</f>
        <v>4</v>
      </c>
      <c r="C5" s="1">
        <f t="shared" si="0"/>
        <v>4</v>
      </c>
    </row>
    <row r="6" spans="1:3" x14ac:dyDescent="0.35">
      <c r="A6" s="1" t="s">
        <v>157</v>
      </c>
      <c r="B6" s="1">
        <f>COUNTIF([1]PMA!$F$2:$F$436, A6)</f>
        <v>0</v>
      </c>
      <c r="C6" s="1">
        <f t="shared" si="0"/>
        <v>0</v>
      </c>
    </row>
    <row r="7" spans="1:3" x14ac:dyDescent="0.35">
      <c r="A7" s="1" t="s">
        <v>148</v>
      </c>
      <c r="B7" s="1">
        <f>COUNTIF([1]PMA!$F$2:$F$436, A7)</f>
        <v>1</v>
      </c>
      <c r="C7" s="1">
        <f t="shared" si="0"/>
        <v>1</v>
      </c>
    </row>
    <row r="8" spans="1:3" x14ac:dyDescent="0.35">
      <c r="A8" s="1" t="s">
        <v>156</v>
      </c>
      <c r="B8" s="1">
        <f>COUNTIF([1]PMA!$F$2:$F$436, A8)</f>
        <v>0</v>
      </c>
      <c r="C8" s="1">
        <f t="shared" si="0"/>
        <v>0</v>
      </c>
    </row>
    <row r="9" spans="1:3" x14ac:dyDescent="0.35">
      <c r="A9" s="1" t="s">
        <v>161</v>
      </c>
      <c r="B9" s="1">
        <f>COUNTIF([1]PMA!$F$2:$F$436, A9)</f>
        <v>1</v>
      </c>
      <c r="C9" s="1">
        <f t="shared" si="0"/>
        <v>1</v>
      </c>
    </row>
    <row r="10" spans="1:3" x14ac:dyDescent="0.35">
      <c r="A10" s="1" t="s">
        <v>155</v>
      </c>
      <c r="B10" s="1">
        <f>COUNTIF([1]PMA!$F$2:$F$436, A10)</f>
        <v>1</v>
      </c>
      <c r="C10" s="1">
        <f t="shared" si="0"/>
        <v>1</v>
      </c>
    </row>
    <row r="11" spans="1:3" x14ac:dyDescent="0.35">
      <c r="A11" s="1" t="s">
        <v>149</v>
      </c>
      <c r="B11" s="1">
        <f>COUNTIF([1]PMA!$F$2:$F$436, A11)</f>
        <v>7</v>
      </c>
      <c r="C11" s="1">
        <v>9</v>
      </c>
    </row>
    <row r="12" spans="1:3" x14ac:dyDescent="0.35">
      <c r="A12" s="1" t="s">
        <v>153</v>
      </c>
      <c r="B12" s="1">
        <f>COUNTIF([1]PMA!$F$2:$F$436, A12)</f>
        <v>2</v>
      </c>
      <c r="C12" s="1">
        <v>3</v>
      </c>
    </row>
    <row r="13" spans="1:3" x14ac:dyDescent="0.35">
      <c r="A13" s="1" t="s">
        <v>151</v>
      </c>
      <c r="B13" s="1">
        <f>COUNTIF([1]PMA!$F$2:$F$436, A13)</f>
        <v>1</v>
      </c>
      <c r="C13" s="1">
        <v>1</v>
      </c>
    </row>
    <row r="14" spans="1:3" x14ac:dyDescent="0.35">
      <c r="A14" s="51" t="s">
        <v>216</v>
      </c>
      <c r="B14" s="51">
        <f>SUM(B3:B13)</f>
        <v>19</v>
      </c>
      <c r="C14" s="51">
        <f>SUM(C3:C13)</f>
        <v>22</v>
      </c>
    </row>
    <row r="17" spans="1:3" x14ac:dyDescent="0.35">
      <c r="A17" s="43" t="s">
        <v>186</v>
      </c>
      <c r="B17" s="43"/>
      <c r="C17" s="43" t="s">
        <v>198</v>
      </c>
    </row>
    <row r="18" spans="1:3" x14ac:dyDescent="0.35">
      <c r="A18" s="1" t="s">
        <v>149</v>
      </c>
      <c r="B18" s="1">
        <f>COUNTIF([1]PMA!$F$2:$F$436, A18)</f>
        <v>7</v>
      </c>
      <c r="C18" s="1">
        <f>B18/B14*100</f>
        <v>36.84210526315789</v>
      </c>
    </row>
    <row r="19" spans="1:3" x14ac:dyDescent="0.35">
      <c r="A19" s="1" t="s">
        <v>165</v>
      </c>
      <c r="B19" s="1">
        <f>COUNTIF([1]PMA!$F$2:$F$436, A19)</f>
        <v>4</v>
      </c>
      <c r="C19" s="1">
        <f>B19/B14*100</f>
        <v>21.052631578947366</v>
      </c>
    </row>
    <row r="20" spans="1:3" x14ac:dyDescent="0.35">
      <c r="A20" s="1" t="s">
        <v>155</v>
      </c>
      <c r="B20" s="1">
        <f>COUNTIF([1]PMA!$F$2:$F$436, A20)</f>
        <v>1</v>
      </c>
      <c r="C20" s="1">
        <f>B20/B14*100</f>
        <v>5.2631578947368416</v>
      </c>
    </row>
    <row r="21" spans="1:3" x14ac:dyDescent="0.35">
      <c r="A21" s="1" t="s">
        <v>167</v>
      </c>
      <c r="B21" s="1">
        <f>COUNTIF([1]PMA!$F$2:$F$436, A21)</f>
        <v>0</v>
      </c>
      <c r="C21" s="1">
        <f>B21/B14*100</f>
        <v>0</v>
      </c>
    </row>
    <row r="22" spans="1:3" x14ac:dyDescent="0.35">
      <c r="A22" s="1" t="s">
        <v>153</v>
      </c>
      <c r="B22" s="1">
        <f>COUNTIF([1]PMA!$F$2:$F$436, A22)</f>
        <v>2</v>
      </c>
      <c r="C22" s="1">
        <f>B22/B14*100</f>
        <v>10.526315789473683</v>
      </c>
    </row>
    <row r="23" spans="1:3" x14ac:dyDescent="0.35">
      <c r="A23" s="1" t="s">
        <v>150</v>
      </c>
      <c r="B23" s="1">
        <f>COUNTIF([1]PMA!$F$2:$F$436, A23)</f>
        <v>2</v>
      </c>
      <c r="C23" s="1">
        <f>B23/B14*100</f>
        <v>10.526315789473683</v>
      </c>
    </row>
    <row r="24" spans="1:3" x14ac:dyDescent="0.35">
      <c r="A24" s="1" t="s">
        <v>157</v>
      </c>
      <c r="B24" s="1">
        <f>COUNTIF([1]PMA!$F$2:$F$436, A24)</f>
        <v>0</v>
      </c>
      <c r="C24" s="1">
        <f>B24/B14*100</f>
        <v>0</v>
      </c>
    </row>
    <row r="25" spans="1:3" x14ac:dyDescent="0.35">
      <c r="A25" s="1" t="s">
        <v>148</v>
      </c>
      <c r="B25" s="1">
        <f>COUNTIF([1]PMA!$F$2:$F$436, A25)</f>
        <v>1</v>
      </c>
      <c r="C25" s="1">
        <f>B25/B14*100</f>
        <v>5.2631578947368416</v>
      </c>
    </row>
    <row r="26" spans="1:3" x14ac:dyDescent="0.35">
      <c r="A26" s="1" t="s">
        <v>156</v>
      </c>
      <c r="B26" s="1">
        <f>COUNTIF([1]PMA!$F$2:$F$436, A26)</f>
        <v>0</v>
      </c>
      <c r="C26" s="1">
        <f>B26/B14*100</f>
        <v>0</v>
      </c>
    </row>
    <row r="27" spans="1:3" x14ac:dyDescent="0.35">
      <c r="A27" s="1" t="s">
        <v>161</v>
      </c>
      <c r="B27" s="1">
        <f>COUNTIF([1]PMA!$F$2:$F$436, A27)</f>
        <v>1</v>
      </c>
      <c r="C27" s="1">
        <f>B27/B14*100</f>
        <v>5.2631578947368416</v>
      </c>
    </row>
    <row r="28" spans="1:3" x14ac:dyDescent="0.35">
      <c r="A28" s="1" t="s">
        <v>151</v>
      </c>
      <c r="B28" s="1">
        <f>COUNTIF([1]PMA!$F$2:$F$436, A28)</f>
        <v>1</v>
      </c>
      <c r="C28" s="1">
        <f>B28/B14*100</f>
        <v>5.2631578947368416</v>
      </c>
    </row>
  </sheetData>
  <sortState xmlns:xlrd2="http://schemas.microsoft.com/office/spreadsheetml/2017/richdata2" ref="A18:B28">
    <sortCondition descending="1" ref="B17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8715-3245-4B8F-8956-3A423D8AC0D3}">
  <sheetPr>
    <tabColor theme="2" tint="-0.249977111117893"/>
  </sheetPr>
  <dimension ref="A1:K101"/>
  <sheetViews>
    <sheetView topLeftCell="A65" zoomScale="43" zoomScaleNormal="59" workbookViewId="0">
      <selection activeCell="E97" sqref="E97"/>
    </sheetView>
  </sheetViews>
  <sheetFormatPr defaultColWidth="8.81640625" defaultRowHeight="14" x14ac:dyDescent="0.35"/>
  <cols>
    <col min="1" max="1" width="8.81640625" style="25" customWidth="1"/>
    <col min="2" max="2" width="4.54296875" style="25" customWidth="1"/>
    <col min="3" max="3" width="34.81640625" style="33" customWidth="1"/>
    <col min="4" max="4" width="31.36328125" style="25" customWidth="1"/>
    <col min="5" max="5" width="24.08984375" style="32" bestFit="1" customWidth="1"/>
    <col min="6" max="6" width="8.453125" style="32" customWidth="1"/>
    <col min="7" max="7" width="21.54296875" style="32" bestFit="1" customWidth="1"/>
    <col min="8" max="8" width="30.453125" style="32" bestFit="1" customWidth="1"/>
    <col min="9" max="9" width="8.81640625" style="25" customWidth="1"/>
    <col min="10" max="10" width="25.7265625" style="25" bestFit="1" customWidth="1"/>
    <col min="11" max="16384" width="8.81640625" style="25"/>
  </cols>
  <sheetData>
    <row r="1" spans="1:11" ht="14.5" customHeight="1" x14ac:dyDescent="0.35"/>
    <row r="2" spans="1:11" x14ac:dyDescent="0.35">
      <c r="A2" s="116"/>
    </row>
    <row r="3" spans="1:11" x14ac:dyDescent="0.35">
      <c r="A3" s="117"/>
      <c r="B3" s="111" t="s">
        <v>199</v>
      </c>
      <c r="C3" s="100"/>
      <c r="D3" s="100"/>
      <c r="E3" s="100"/>
      <c r="F3" s="100"/>
      <c r="G3" s="100"/>
      <c r="H3" s="100"/>
      <c r="I3" s="100"/>
      <c r="J3" s="100"/>
    </row>
    <row r="4" spans="1:11" x14ac:dyDescent="0.35">
      <c r="A4" s="117"/>
      <c r="B4" s="111"/>
      <c r="C4" s="100"/>
      <c r="D4" s="100"/>
      <c r="E4" s="100"/>
      <c r="F4" s="100"/>
      <c r="G4" s="100"/>
      <c r="H4" s="100"/>
      <c r="I4" s="100"/>
      <c r="J4" s="100"/>
      <c r="K4" s="25" t="s">
        <v>198</v>
      </c>
    </row>
    <row r="5" spans="1:11" x14ac:dyDescent="0.35">
      <c r="A5" s="117"/>
      <c r="B5" s="112" t="s">
        <v>200</v>
      </c>
      <c r="C5" s="81"/>
      <c r="D5" s="22" t="s">
        <v>147</v>
      </c>
      <c r="E5" s="22" t="s">
        <v>209</v>
      </c>
      <c r="F5" s="23" t="s">
        <v>147</v>
      </c>
      <c r="G5" s="23" t="s">
        <v>208</v>
      </c>
      <c r="H5" s="23" t="s">
        <v>209</v>
      </c>
      <c r="I5" s="22" t="s">
        <v>147</v>
      </c>
      <c r="J5" s="22" t="s">
        <v>209</v>
      </c>
      <c r="K5" s="25" t="s">
        <v>169</v>
      </c>
    </row>
    <row r="6" spans="1:11" x14ac:dyDescent="0.35">
      <c r="A6" s="117"/>
      <c r="B6" s="113">
        <v>1</v>
      </c>
      <c r="C6" s="27" t="s">
        <v>150</v>
      </c>
      <c r="D6" s="28">
        <f>COUNTIF([1]PMDN!$F$2:$F$436, C6)</f>
        <v>9</v>
      </c>
      <c r="E6" s="24">
        <f>SUMIF([1]PMDN!$F$2:$F$436,C6,
[1]PMDN!$T$2:$T$436
)</f>
        <v>7055961529</v>
      </c>
      <c r="F6" s="104">
        <f>COUNTIF([1]PMA!$F$2:$F$436, C6)</f>
        <v>2</v>
      </c>
      <c r="G6" s="29">
        <f>H6/166519</f>
        <v>0</v>
      </c>
      <c r="H6" s="34">
        <f>SUMIF([1]PMA!$F$2:$F$436,C6,
[1]PMA!$T$2:$T$436
)</f>
        <v>0</v>
      </c>
      <c r="I6" s="30">
        <f t="shared" ref="I6:I27" si="0">D6+F6</f>
        <v>11</v>
      </c>
      <c r="J6" s="30">
        <f t="shared" ref="J6:J26" si="1">E6+H6</f>
        <v>7055961529</v>
      </c>
    </row>
    <row r="7" spans="1:11" ht="42" x14ac:dyDescent="0.35">
      <c r="A7" s="117"/>
      <c r="B7" s="113">
        <v>2</v>
      </c>
      <c r="C7" s="27" t="s">
        <v>158</v>
      </c>
      <c r="D7" s="28">
        <f>COUNTIF([1]PMDN!$F$2:$F$436, C7)</f>
        <v>1</v>
      </c>
      <c r="E7" s="24">
        <f>SUMIF([1]PMDN!$F$2:$F$436,C7,
[1]PMDN!$T$2:$T$436
)</f>
        <v>25860138089</v>
      </c>
      <c r="F7" s="104">
        <f>COUNTIF([1]PMA!$F$2:$F$436, C7)</f>
        <v>0</v>
      </c>
      <c r="G7" s="29">
        <f t="shared" ref="G7:G13" si="2">H7/166519</f>
        <v>0</v>
      </c>
      <c r="H7" s="34">
        <f>SUMIF([1]PMA!$F$2:$F$436,C7,
[1]PMA!$T$2:$T$436
)</f>
        <v>0</v>
      </c>
      <c r="I7" s="30">
        <f t="shared" si="0"/>
        <v>1</v>
      </c>
      <c r="J7" s="30">
        <f t="shared" si="1"/>
        <v>25860138089</v>
      </c>
    </row>
    <row r="8" spans="1:11" x14ac:dyDescent="0.35">
      <c r="A8" s="117"/>
      <c r="B8" s="113">
        <v>3</v>
      </c>
      <c r="C8" s="27" t="s">
        <v>162</v>
      </c>
      <c r="D8" s="28">
        <f>COUNTIF([1]PMDN!$F$2:$F$436, C8)</f>
        <v>1</v>
      </c>
      <c r="E8" s="24">
        <f>SUMIF([1]PMDN!$F$2:$F$436,C8,
[1]PMDN!$T$2:$T$436
)</f>
        <v>653342000</v>
      </c>
      <c r="F8" s="104">
        <f>COUNTIF([1]PMA!$F$2:$F$436, C8)</f>
        <v>0</v>
      </c>
      <c r="G8" s="29">
        <f t="shared" si="2"/>
        <v>0</v>
      </c>
      <c r="H8" s="34">
        <f>SUMIF([1]PMA!$F$2:$F$436,C8,
[1]PMA!$T$2:$T$436
)</f>
        <v>0</v>
      </c>
      <c r="I8" s="30">
        <f t="shared" si="0"/>
        <v>1</v>
      </c>
      <c r="J8" s="30">
        <f t="shared" si="1"/>
        <v>653342000</v>
      </c>
    </row>
    <row r="9" spans="1:11" x14ac:dyDescent="0.35">
      <c r="A9" s="117"/>
      <c r="B9" s="113">
        <v>4</v>
      </c>
      <c r="C9" s="27" t="s">
        <v>167</v>
      </c>
      <c r="D9" s="28">
        <f>COUNTIF([1]PMDN!$F$2:$F$436, C9)</f>
        <v>0</v>
      </c>
      <c r="E9" s="24">
        <f>SUMIF([1]PMDN!$F$2:$F$436,C9,
[1]PMDN!$T$2:$T$436
)</f>
        <v>0</v>
      </c>
      <c r="F9" s="104">
        <f>COUNTIF([1]PMA!$F$2:$F$436, C9)</f>
        <v>0</v>
      </c>
      <c r="G9" s="29">
        <f t="shared" si="2"/>
        <v>0</v>
      </c>
      <c r="H9" s="34">
        <f>SUMIF([1]PMA!$F$2:$F$436,C9,
[1]PMA!$T$2:$T$436
)</f>
        <v>0</v>
      </c>
      <c r="I9" s="30">
        <f t="shared" si="0"/>
        <v>0</v>
      </c>
      <c r="J9" s="30">
        <f t="shared" si="1"/>
        <v>0</v>
      </c>
    </row>
    <row r="10" spans="1:11" ht="28" x14ac:dyDescent="0.35">
      <c r="A10" s="117"/>
      <c r="B10" s="113">
        <v>5</v>
      </c>
      <c r="C10" s="27" t="s">
        <v>166</v>
      </c>
      <c r="D10" s="28">
        <f>COUNTIF([1]PMDN!$F$2:$F$436, C10)</f>
        <v>1</v>
      </c>
      <c r="E10" s="24">
        <f>SUMIF([1]PMDN!$F$2:$F$436,C10,
[1]PMDN!$T$2:$T$436
)</f>
        <v>25000000</v>
      </c>
      <c r="F10" s="104">
        <f>COUNTIF([1]PMA!$F$2:$F$436, C10)</f>
        <v>0</v>
      </c>
      <c r="G10" s="29">
        <f t="shared" si="2"/>
        <v>0</v>
      </c>
      <c r="H10" s="34">
        <f>SUMIF([1]PMA!$F$2:$F$436,C10,
[1]PMA!$T$2:$T$436
)</f>
        <v>0</v>
      </c>
      <c r="I10" s="30">
        <f t="shared" si="0"/>
        <v>1</v>
      </c>
      <c r="J10" s="30">
        <f t="shared" si="1"/>
        <v>25000000</v>
      </c>
    </row>
    <row r="11" spans="1:11" x14ac:dyDescent="0.35">
      <c r="A11" s="117"/>
      <c r="B11" s="113">
        <v>6</v>
      </c>
      <c r="C11" s="27" t="s">
        <v>164</v>
      </c>
      <c r="D11" s="28">
        <f>COUNTIF([1]PMDN!$F$2:$F$436, C11)</f>
        <v>0</v>
      </c>
      <c r="E11" s="24">
        <f>SUMIF([1]PMDN!$F$2:$F$436,C11,
[1]PMDN!$T$2:$T$436
)</f>
        <v>0</v>
      </c>
      <c r="F11" s="104">
        <f>COUNTIF([1]PMA!$F$2:$F$436, C11)</f>
        <v>0</v>
      </c>
      <c r="G11" s="29">
        <f t="shared" si="2"/>
        <v>0</v>
      </c>
      <c r="H11" s="34">
        <f>SUMIF([1]PMA!$F$2:$F$436,C11,
[1]PMA!$T$2:$T$436
)</f>
        <v>0</v>
      </c>
      <c r="I11" s="30">
        <f t="shared" si="0"/>
        <v>0</v>
      </c>
      <c r="J11" s="30">
        <f t="shared" si="1"/>
        <v>0</v>
      </c>
    </row>
    <row r="12" spans="1:11" x14ac:dyDescent="0.35">
      <c r="A12" s="117"/>
      <c r="B12" s="113">
        <v>7</v>
      </c>
      <c r="C12" s="27" t="s">
        <v>152</v>
      </c>
      <c r="D12" s="28">
        <f>COUNTIF([1]PMDN!$F$2:$F$436, C12)</f>
        <v>5</v>
      </c>
      <c r="E12" s="24">
        <f>SUMIF([1]PMDN!$F$2:$F$436,C12,
[1]PMDN!$T$2:$T$436
)</f>
        <v>315283370258</v>
      </c>
      <c r="F12" s="104">
        <f>COUNTIF([1]PMA!$F$2:$F$436, C12)</f>
        <v>0</v>
      </c>
      <c r="G12" s="29">
        <f t="shared" si="2"/>
        <v>0</v>
      </c>
      <c r="H12" s="34">
        <f>SUMIF([1]PMA!$F$2:$F$436,C12,
[1]PMA!$T$2:$T$436
)</f>
        <v>0</v>
      </c>
      <c r="I12" s="30">
        <f t="shared" si="0"/>
        <v>5</v>
      </c>
      <c r="J12" s="30">
        <f t="shared" si="1"/>
        <v>315283370258</v>
      </c>
    </row>
    <row r="13" spans="1:11" x14ac:dyDescent="0.35">
      <c r="A13" s="117"/>
      <c r="B13" s="113">
        <v>8</v>
      </c>
      <c r="C13" s="27" t="s">
        <v>163</v>
      </c>
      <c r="D13" s="28">
        <f>COUNTIF([1]PMDN!$F$2:$F$436, C13)</f>
        <v>1</v>
      </c>
      <c r="E13" s="24">
        <f>SUMIF([1]PMDN!$F$2:$F$436,C13,
[1]PMDN!$T$2:$T$436
)</f>
        <v>0</v>
      </c>
      <c r="F13" s="104">
        <f>COUNTIF([1]PMA!$F$2:$F$436, C13)</f>
        <v>1</v>
      </c>
      <c r="G13" s="29">
        <f t="shared" si="2"/>
        <v>0</v>
      </c>
      <c r="H13" s="34">
        <f>SUMIF([1]PMA!$F$2:$F$436,C13,
[1]PMA!$T$2:$T$436
)</f>
        <v>0</v>
      </c>
      <c r="I13" s="30">
        <f t="shared" si="0"/>
        <v>2</v>
      </c>
      <c r="J13" s="30">
        <f t="shared" si="1"/>
        <v>0</v>
      </c>
    </row>
    <row r="14" spans="1:11" ht="28" x14ac:dyDescent="0.35">
      <c r="A14" s="117"/>
      <c r="B14" s="113">
        <v>9</v>
      </c>
      <c r="C14" s="27" t="s">
        <v>165</v>
      </c>
      <c r="D14" s="28">
        <f>COUNTIF([1]PMDN!$F$2:$F$436, C14)</f>
        <v>1</v>
      </c>
      <c r="E14" s="24">
        <f>SUMIF([1]PMDN!$F$2:$F$436,C14,
[1]PMDN!$T$2:$T$436
)</f>
        <v>102245133</v>
      </c>
      <c r="F14" s="104">
        <f>COUNTIF([1]PMA!$F$2:$F$436, C14)</f>
        <v>4</v>
      </c>
      <c r="G14" s="29">
        <f>H14/16.664</f>
        <v>90011583972.815643</v>
      </c>
      <c r="H14" s="34">
        <f>SUMIF([1]PMA!$F$2:$F$436,C14,
[1]PMA!$T$2:$T$436
)</f>
        <v>1499953035323</v>
      </c>
      <c r="I14" s="30">
        <f t="shared" si="0"/>
        <v>5</v>
      </c>
      <c r="J14" s="30">
        <f t="shared" si="1"/>
        <v>1500055280456</v>
      </c>
    </row>
    <row r="15" spans="1:11" x14ac:dyDescent="0.35">
      <c r="A15" s="117"/>
      <c r="B15" s="113">
        <v>10</v>
      </c>
      <c r="C15" s="27" t="s">
        <v>157</v>
      </c>
      <c r="D15" s="28">
        <f>COUNTIF([1]PMDN!$F$2:$F$436, C15)</f>
        <v>16</v>
      </c>
      <c r="E15" s="24">
        <f>SUMIF([1]PMDN!$F$2:$F$436,C15,
[1]PMDN!$T$2:$T$436
)</f>
        <v>1035450100335</v>
      </c>
      <c r="F15" s="104">
        <f>COUNTIF([1]PMA!$F$2:$F$436, C15)</f>
        <v>0</v>
      </c>
      <c r="G15" s="29">
        <f t="shared" ref="G15:G26" si="3">H15/16.664</f>
        <v>0</v>
      </c>
      <c r="H15" s="34">
        <f>SUMIF([1]PMA!$F$2:$F$436,C15,
[1]PMA!$T$2:$T$436
)</f>
        <v>0</v>
      </c>
      <c r="I15" s="30">
        <f t="shared" si="0"/>
        <v>16</v>
      </c>
      <c r="J15" s="30">
        <f t="shared" si="1"/>
        <v>1035450100335</v>
      </c>
    </row>
    <row r="16" spans="1:11" x14ac:dyDescent="0.35">
      <c r="A16" s="117"/>
      <c r="B16" s="113">
        <v>11</v>
      </c>
      <c r="C16" s="27" t="s">
        <v>168</v>
      </c>
      <c r="D16" s="28">
        <f>COUNTIF([1]PMDN!$F$2:$F$436, C16)</f>
        <v>0</v>
      </c>
      <c r="E16" s="24">
        <f>SUMIF([1]PMDN!$F$2:$F$436,C16,
[1]PMDN!$T$2:$T$436
)</f>
        <v>0</v>
      </c>
      <c r="F16" s="104">
        <f>COUNTIF([1]PMA!$F$2:$F$436, C16)</f>
        <v>0</v>
      </c>
      <c r="G16" s="29">
        <f t="shared" si="3"/>
        <v>0</v>
      </c>
      <c r="H16" s="34">
        <f>SUMIF([1]PMA!$F$2:$F$436,C16,
[1]PMA!$T$2:$T$436
)</f>
        <v>0</v>
      </c>
      <c r="I16" s="30">
        <f t="shared" si="0"/>
        <v>0</v>
      </c>
      <c r="J16" s="30">
        <f t="shared" si="1"/>
        <v>0</v>
      </c>
    </row>
    <row r="17" spans="1:10" x14ac:dyDescent="0.35">
      <c r="A17" s="117"/>
      <c r="B17" s="113">
        <v>12</v>
      </c>
      <c r="C17" s="27" t="s">
        <v>148</v>
      </c>
      <c r="D17" s="28">
        <f>COUNTIF([1]PMDN!$F$2:$F$436, C17)</f>
        <v>33</v>
      </c>
      <c r="E17" s="24">
        <f>SUMIF([1]PMDN!$F$2:$F$436,C17,
[1]PMDN!$T$2:$T$436
)</f>
        <v>476519189973</v>
      </c>
      <c r="F17" s="104">
        <f>COUNTIF([1]PMA!$F$2:$F$436, C17)</f>
        <v>1</v>
      </c>
      <c r="G17" s="29">
        <f t="shared" si="3"/>
        <v>0</v>
      </c>
      <c r="H17" s="34">
        <f>SUMIF([1]PMA!$F$2:$F$436,C17,
[1]PMA!$T$2:$T$436
)</f>
        <v>0</v>
      </c>
      <c r="I17" s="30">
        <f t="shared" si="0"/>
        <v>34</v>
      </c>
      <c r="J17" s="30">
        <f t="shared" si="1"/>
        <v>476519189973</v>
      </c>
    </row>
    <row r="18" spans="1:10" x14ac:dyDescent="0.35">
      <c r="A18" s="117"/>
      <c r="B18" s="113">
        <v>13</v>
      </c>
      <c r="C18" s="27" t="s">
        <v>159</v>
      </c>
      <c r="D18" s="28">
        <f>COUNTIF([1]PMDN!$F$2:$F$436, C18)</f>
        <v>2</v>
      </c>
      <c r="E18" s="24">
        <f>SUMIF([1]PMDN!$F$2:$F$436,C18,
[1]PMDN!$T$2:$T$436
)</f>
        <v>7679973080</v>
      </c>
      <c r="F18" s="104">
        <f>COUNTIF([1]PMA!$F$2:$F$436, C18)</f>
        <v>0</v>
      </c>
      <c r="G18" s="29">
        <f t="shared" si="3"/>
        <v>0</v>
      </c>
      <c r="H18" s="34">
        <f>SUMIF([1]PMA!$F$2:$F$436,C18,
[1]PMA!$T$2:$T$436
)</f>
        <v>0</v>
      </c>
      <c r="I18" s="30">
        <f t="shared" si="0"/>
        <v>2</v>
      </c>
      <c r="J18" s="30">
        <f t="shared" si="1"/>
        <v>7679973080</v>
      </c>
    </row>
    <row r="19" spans="1:10" x14ac:dyDescent="0.35">
      <c r="A19" s="117"/>
      <c r="B19" s="113">
        <v>14</v>
      </c>
      <c r="C19" s="27" t="s">
        <v>156</v>
      </c>
      <c r="D19" s="28">
        <f>COUNTIF([1]PMDN!$F$2:$F$436, C19)</f>
        <v>72</v>
      </c>
      <c r="E19" s="24">
        <f>SUMIF([1]PMDN!$F$2:$F$436,C19,
[1]PMDN!$T$2:$T$436
)</f>
        <v>205754956793</v>
      </c>
      <c r="F19" s="104">
        <f>COUNTIF([1]PMA!$F$2:$F$436, C19)</f>
        <v>0</v>
      </c>
      <c r="G19" s="29">
        <f t="shared" si="3"/>
        <v>0</v>
      </c>
      <c r="H19" s="34">
        <f>SUMIF([1]PMA!$F$2:$F$436,C19,
[1]PMA!$T$2:$T$436
)</f>
        <v>0</v>
      </c>
      <c r="I19" s="30">
        <f t="shared" si="0"/>
        <v>72</v>
      </c>
      <c r="J19" s="30">
        <f t="shared" si="1"/>
        <v>205754956793</v>
      </c>
    </row>
    <row r="20" spans="1:10" x14ac:dyDescent="0.35">
      <c r="A20" s="117"/>
      <c r="B20" s="113">
        <v>15</v>
      </c>
      <c r="C20" s="27" t="s">
        <v>161</v>
      </c>
      <c r="D20" s="28">
        <f>COUNTIF([1]PMDN!$F$2:$F$436, C20)</f>
        <v>8</v>
      </c>
      <c r="E20" s="24">
        <f>SUMIF([1]PMDN!$F$2:$F$436,C20,
[1]PMDN!$T$2:$T$436
)</f>
        <v>9018656699</v>
      </c>
      <c r="F20" s="104">
        <f>COUNTIF([1]PMA!$F$2:$F$436, C20)</f>
        <v>1</v>
      </c>
      <c r="G20" s="29">
        <f t="shared" si="3"/>
        <v>0</v>
      </c>
      <c r="H20" s="34">
        <f>SUMIF([1]PMA!$F$2:$F$436,C20,
[1]PMA!$T$2:$T$436
)</f>
        <v>0</v>
      </c>
      <c r="I20" s="30">
        <f t="shared" si="0"/>
        <v>9</v>
      </c>
      <c r="J20" s="30">
        <f t="shared" si="1"/>
        <v>9018656699</v>
      </c>
    </row>
    <row r="21" spans="1:10" x14ac:dyDescent="0.35">
      <c r="A21" s="117"/>
      <c r="B21" s="113">
        <v>16</v>
      </c>
      <c r="C21" s="27" t="s">
        <v>155</v>
      </c>
      <c r="D21" s="28">
        <f>COUNTIF([1]PMDN!$F$2:$F$436, C21)</f>
        <v>115</v>
      </c>
      <c r="E21" s="24">
        <f>SUMIF([1]PMDN!$F$2:$F$436,C21,
[1]PMDN!$T$2:$T$436
)</f>
        <v>1458911916883</v>
      </c>
      <c r="F21" s="104">
        <f>COUNTIF([1]PMA!$F$2:$F$436, C21)</f>
        <v>1</v>
      </c>
      <c r="G21" s="29">
        <f t="shared" si="3"/>
        <v>0</v>
      </c>
      <c r="H21" s="34">
        <f>SUMIF([1]PMA!$F$2:$F$436,C21,
[1]PMA!$T$2:$T$436
)</f>
        <v>0</v>
      </c>
      <c r="I21" s="30">
        <f t="shared" si="0"/>
        <v>116</v>
      </c>
      <c r="J21" s="30">
        <f t="shared" si="1"/>
        <v>1458911916883</v>
      </c>
    </row>
    <row r="22" spans="1:10" x14ac:dyDescent="0.35">
      <c r="A22" s="117"/>
      <c r="B22" s="113">
        <v>17</v>
      </c>
      <c r="C22" s="27" t="s">
        <v>160</v>
      </c>
      <c r="D22" s="28">
        <f>COUNTIF([1]PMDN!$F$2:$F$436, C22)</f>
        <v>1</v>
      </c>
      <c r="E22" s="24">
        <f>SUMIF([1]PMDN!$F$2:$F$436,C22,
[1]PMDN!$T$2:$T$436
)</f>
        <v>2418326714</v>
      </c>
      <c r="F22" s="104">
        <f>COUNTIF([1]PMA!$F$2:$F$436, C22)</f>
        <v>0</v>
      </c>
      <c r="G22" s="29">
        <f t="shared" si="3"/>
        <v>0</v>
      </c>
      <c r="H22" s="34">
        <f>SUMIF([1]PMA!$F$2:$F$436,C22,
[1]PMA!$T$2:$T$436
)</f>
        <v>0</v>
      </c>
      <c r="I22" s="30">
        <f t="shared" si="0"/>
        <v>1</v>
      </c>
      <c r="J22" s="30">
        <f t="shared" si="1"/>
        <v>2418326714</v>
      </c>
    </row>
    <row r="23" spans="1:10" x14ac:dyDescent="0.35">
      <c r="A23" s="117"/>
      <c r="B23" s="113">
        <v>18</v>
      </c>
      <c r="C23" s="27" t="s">
        <v>149</v>
      </c>
      <c r="D23" s="28">
        <f>COUNTIF([1]PMDN!$F$2:$F$436, C23)</f>
        <v>72</v>
      </c>
      <c r="E23" s="24">
        <f>SUMIF([1]PMDN!$F$2:$F$436,C23,
[1]PMDN!$T$2:$T$436
)</f>
        <v>9829458916542</v>
      </c>
      <c r="F23" s="104">
        <f>COUNTIF([1]PMA!$F$2:$F$436, C23)</f>
        <v>7</v>
      </c>
      <c r="G23" s="29">
        <f t="shared" si="3"/>
        <v>133236784624.15985</v>
      </c>
      <c r="H23" s="34">
        <f>SUMIF([1]PMA!$F$2:$F$436,C23,
[1]PMA!$T$2:$T$436
)</f>
        <v>2220257778977</v>
      </c>
      <c r="I23" s="30">
        <f t="shared" si="0"/>
        <v>79</v>
      </c>
      <c r="J23" s="30">
        <f t="shared" si="1"/>
        <v>12049716695519</v>
      </c>
    </row>
    <row r="24" spans="1:10" ht="28" x14ac:dyDescent="0.35">
      <c r="A24" s="117"/>
      <c r="B24" s="113">
        <v>19</v>
      </c>
      <c r="C24" s="27" t="s">
        <v>154</v>
      </c>
      <c r="D24" s="28">
        <f>COUNTIF([1]PMDN!$F$2:$F$436, C24)</f>
        <v>6</v>
      </c>
      <c r="E24" s="24">
        <f>SUMIF([1]PMDN!$F$2:$F$436,C24,
[1]PMDN!$T$2:$T$436
)</f>
        <v>47607999688</v>
      </c>
      <c r="F24" s="104">
        <f>COUNTIF([1]PMA!$F$2:$F$436, C24)</f>
        <v>0</v>
      </c>
      <c r="G24" s="29">
        <f t="shared" si="3"/>
        <v>0</v>
      </c>
      <c r="H24" s="34">
        <f>SUMIF([1]PMA!$F$2:$F$436,C24,
[1]PMA!$T$2:$T$436
)</f>
        <v>0</v>
      </c>
      <c r="I24" s="30">
        <f t="shared" si="0"/>
        <v>6</v>
      </c>
      <c r="J24" s="30">
        <f t="shared" si="1"/>
        <v>47607999688</v>
      </c>
    </row>
    <row r="25" spans="1:10" ht="28" x14ac:dyDescent="0.35">
      <c r="A25" s="117"/>
      <c r="B25" s="113">
        <v>20</v>
      </c>
      <c r="C25" s="27" t="s">
        <v>153</v>
      </c>
      <c r="D25" s="28">
        <f>COUNTIF([1]PMDN!$F$2:$F$436, C25)</f>
        <v>28</v>
      </c>
      <c r="E25" s="24">
        <f>SUMIF([1]PMDN!$F$2:$F$436,C25,
[1]PMDN!$T$2:$T$436
)</f>
        <v>995232296784</v>
      </c>
      <c r="F25" s="104">
        <f>COUNTIF([1]PMA!$F$2:$F$436, C25)</f>
        <v>2</v>
      </c>
      <c r="G25" s="29">
        <f t="shared" si="3"/>
        <v>2447154143.9630337</v>
      </c>
      <c r="H25" s="34">
        <f>SUMIF([1]PMA!$F$2:$F$436,C25,
[1]PMA!$T$2:$T$436
)</f>
        <v>40779376655</v>
      </c>
      <c r="I25" s="30">
        <f t="shared" si="0"/>
        <v>30</v>
      </c>
      <c r="J25" s="30">
        <f t="shared" si="1"/>
        <v>1036011673439</v>
      </c>
    </row>
    <row r="26" spans="1:10" ht="28" x14ac:dyDescent="0.35">
      <c r="A26" s="117"/>
      <c r="B26" s="113">
        <v>21</v>
      </c>
      <c r="C26" s="27" t="s">
        <v>151</v>
      </c>
      <c r="D26" s="28">
        <f>COUNTIF([1]PMDN!$F$2:$F$436, C26)</f>
        <v>63</v>
      </c>
      <c r="E26" s="24">
        <f>SUMIF([1]PMDN!$F$2:$F$436,C26,
[1]PMDN!$T$2:$T$436
)</f>
        <v>1933538728596</v>
      </c>
      <c r="F26" s="104">
        <f>COUNTIF([1]PMA!$F$2:$F$436, C26)</f>
        <v>1</v>
      </c>
      <c r="G26" s="29">
        <f t="shared" si="3"/>
        <v>0</v>
      </c>
      <c r="H26" s="34">
        <f>SUMIF([1]PMA!$F$2:$F$436,C26,
[1]PMA!$T$2:$T$436
)</f>
        <v>0</v>
      </c>
      <c r="I26" s="30">
        <f t="shared" si="0"/>
        <v>64</v>
      </c>
      <c r="J26" s="30">
        <f t="shared" si="1"/>
        <v>1933538728596</v>
      </c>
    </row>
    <row r="27" spans="1:10" ht="14.5" customHeight="1" x14ac:dyDescent="0.35">
      <c r="A27" s="117"/>
      <c r="B27" s="121" t="s">
        <v>201</v>
      </c>
      <c r="C27" s="121"/>
      <c r="D27" s="31">
        <f>SUM(D6:D26)</f>
        <v>435</v>
      </c>
      <c r="E27" s="31">
        <f t="shared" ref="E27:H27" si="4">SUM(E6:E26)</f>
        <v>16350571119096</v>
      </c>
      <c r="F27" s="31">
        <f t="shared" si="4"/>
        <v>20</v>
      </c>
      <c r="G27" s="31"/>
      <c r="H27" s="31">
        <f t="shared" si="4"/>
        <v>3760990190955</v>
      </c>
      <c r="I27" s="70">
        <f t="shared" si="0"/>
        <v>455</v>
      </c>
      <c r="J27" s="70">
        <f>E27+H27</f>
        <v>20111561310051</v>
      </c>
    </row>
    <row r="28" spans="1:10" x14ac:dyDescent="0.35">
      <c r="A28" s="119"/>
      <c r="B28" s="120"/>
    </row>
    <row r="29" spans="1:10" x14ac:dyDescent="0.35">
      <c r="A29" s="119"/>
      <c r="B29" s="120"/>
    </row>
    <row r="30" spans="1:10" x14ac:dyDescent="0.35">
      <c r="A30" s="119"/>
      <c r="B30" s="120"/>
    </row>
    <row r="31" spans="1:10" x14ac:dyDescent="0.35">
      <c r="A31" s="117"/>
      <c r="B31" s="22" t="s">
        <v>200</v>
      </c>
      <c r="C31" s="81"/>
      <c r="D31" s="22"/>
      <c r="E31" s="23" t="s">
        <v>198</v>
      </c>
    </row>
    <row r="32" spans="1:10" x14ac:dyDescent="0.35">
      <c r="A32" s="117"/>
      <c r="B32" s="114"/>
      <c r="C32" s="108" t="s">
        <v>149</v>
      </c>
      <c r="D32" s="109">
        <f>SUMIF([1]PMDN!$F$2:$F$436, C32,
       [1]PMDN!$T$2:$T$436)
+
SUMIF([1]PMA!$F$2:$F$21, C32,
       [1]PMA!$T$2:$T$21)</f>
        <v>12049716695519</v>
      </c>
      <c r="E32" s="110">
        <f>D32/J27</f>
        <v>0.59914377157267273</v>
      </c>
    </row>
    <row r="33" spans="1:7" x14ac:dyDescent="0.35">
      <c r="A33" s="117"/>
      <c r="B33" s="113"/>
      <c r="C33" s="27" t="s">
        <v>148</v>
      </c>
      <c r="D33" s="84">
        <f>SUMIF([1]PMDN!$F$2:$F$436, C33,
       [1]PMDN!$T$2:$T$436)
+
SUMIF([1]PMA!$F$2:$F$21, C33,
       [1]PMA!$T$2:$T$21)</f>
        <v>476519189973</v>
      </c>
      <c r="E33" s="69">
        <f>D33/J27</f>
        <v>2.3693793963915355E-2</v>
      </c>
    </row>
    <row r="34" spans="1:7" ht="28" x14ac:dyDescent="0.35">
      <c r="A34" s="117"/>
      <c r="B34" s="113"/>
      <c r="C34" s="27" t="s">
        <v>151</v>
      </c>
      <c r="D34" s="84">
        <f>SUMIF([1]PMDN!$F$2:$F$436, C34,
       [1]PMDN!$T$2:$T$436)
+
SUMIF([1]PMA!$F$2:$F$21, C34,
       [1]PMA!$T$2:$T$21)</f>
        <v>1933538728596</v>
      </c>
      <c r="E34" s="69">
        <f>D34/J27</f>
        <v>9.6140657544558222E-2</v>
      </c>
      <c r="G34" s="32" t="s">
        <v>242</v>
      </c>
    </row>
    <row r="35" spans="1:7" x14ac:dyDescent="0.35">
      <c r="A35" s="117"/>
      <c r="B35" s="113"/>
      <c r="C35" s="27" t="s">
        <v>150</v>
      </c>
      <c r="D35" s="84">
        <f>SUMIF([1]PMDN!$F$2:$F$436, C35,
       [1]PMDN!$T$2:$T$436)
+
SUMIF([1]PMA!$F$2:$F$21, C35,
       [1]PMA!$T$2:$T$21)</f>
        <v>7055961529</v>
      </c>
      <c r="E35" s="69">
        <f>D35/J27</f>
        <v>3.5084106202504012E-4</v>
      </c>
    </row>
    <row r="36" spans="1:7" ht="28" x14ac:dyDescent="0.35">
      <c r="A36" s="117"/>
      <c r="B36" s="113"/>
      <c r="C36" s="27" t="s">
        <v>153</v>
      </c>
      <c r="D36" s="84">
        <f>SUMIF([1]PMDN!$F$2:$F$436, C36,
       [1]PMDN!$T$2:$T$436)
+
SUMIF([1]PMA!$F$2:$F$21, C36,
       [1]PMA!$T$2:$T$21)</f>
        <v>1036011673439</v>
      </c>
      <c r="E36" s="69">
        <f>D36/J27</f>
        <v>5.1513239448060175E-2</v>
      </c>
    </row>
    <row r="37" spans="1:7" x14ac:dyDescent="0.35">
      <c r="A37" s="117"/>
      <c r="B37" s="113"/>
      <c r="C37" s="27" t="s">
        <v>152</v>
      </c>
      <c r="D37" s="84">
        <f>SUMIF([1]PMDN!$F$2:$F$436, C37,
       [1]PMDN!$T$2:$T$436)
+
SUMIF([1]PMA!$F$2:$F$21, C37,
       [1]PMA!$T$2:$T$21)</f>
        <v>315283370258</v>
      </c>
      <c r="E37" s="69">
        <f>D37/J27</f>
        <v>1.5676722726665347E-2</v>
      </c>
    </row>
    <row r="38" spans="1:7" x14ac:dyDescent="0.35">
      <c r="A38" s="117"/>
      <c r="B38" s="113"/>
      <c r="C38" s="27" t="s">
        <v>155</v>
      </c>
      <c r="D38" s="84">
        <f>SUMIF([1]PMDN!$F$2:$F$436, C38,
       [1]PMDN!$T$2:$T$436)
+
SUMIF([1]PMA!$F$2:$F$21, C38,
       [1]PMA!$T$2:$T$21)</f>
        <v>1458911916883</v>
      </c>
      <c r="E38" s="69">
        <f>D38/J27</f>
        <v>7.254095763086732E-2</v>
      </c>
    </row>
    <row r="39" spans="1:7" x14ac:dyDescent="0.35">
      <c r="A39" s="117"/>
      <c r="B39" s="113"/>
      <c r="C39" s="27" t="s">
        <v>156</v>
      </c>
      <c r="D39" s="84">
        <f>SUMIF([1]PMDN!$F$2:$F$436, C39,
       [1]PMDN!$T$2:$T$436)
+
SUMIF([1]PMA!$F$2:$F$21, C39,
       [1]PMA!$T$2:$T$21)</f>
        <v>205754956793</v>
      </c>
      <c r="E39" s="69">
        <f>D39/J27</f>
        <v>1.0230680434053195E-2</v>
      </c>
    </row>
    <row r="40" spans="1:7" ht="28" x14ac:dyDescent="0.35">
      <c r="A40" s="117"/>
      <c r="B40" s="113"/>
      <c r="C40" s="27" t="s">
        <v>154</v>
      </c>
      <c r="D40" s="84">
        <f>SUMIF([1]PMDN!$F$2:$F$436, C40,
       [1]PMDN!$T$2:$T$436)
+
SUMIF([1]PMA!$F$2:$F$21, C40,
       [1]PMA!$T$2:$T$21)</f>
        <v>47607999688</v>
      </c>
      <c r="E40" s="69">
        <f>D40/J27</f>
        <v>2.3671956122177009E-3</v>
      </c>
    </row>
    <row r="41" spans="1:7" x14ac:dyDescent="0.35">
      <c r="A41" s="117"/>
      <c r="B41" s="113"/>
      <c r="C41" s="27" t="s">
        <v>157</v>
      </c>
      <c r="D41" s="84">
        <f>SUMIF([1]PMDN!$F$2:$F$436, C41,
       [1]PMDN!$T$2:$T$436)
+
SUMIF([1]PMA!$F$2:$F$21, C41,
       [1]PMA!$T$2:$T$21)</f>
        <v>1035450100335</v>
      </c>
      <c r="E41" s="69">
        <f>D41/J27</f>
        <v>5.1485316548622262E-2</v>
      </c>
    </row>
    <row r="42" spans="1:7" ht="42" x14ac:dyDescent="0.35">
      <c r="A42" s="117"/>
      <c r="B42" s="113"/>
      <c r="C42" s="27" t="s">
        <v>158</v>
      </c>
      <c r="D42" s="84">
        <f>SUMIF([1]PMDN!$F$2:$F$436, C42,
       [1]PMDN!$T$2:$T$436)
+
SUMIF([1]PMA!$F$2:$F$21, C42,
       [1]PMA!$T$2:$T$21)</f>
        <v>25860138089</v>
      </c>
      <c r="E42" s="69">
        <f>D42/J27</f>
        <v>1.2858344357419968E-3</v>
      </c>
    </row>
    <row r="43" spans="1:7" x14ac:dyDescent="0.35">
      <c r="A43" s="117"/>
      <c r="B43" s="113"/>
      <c r="C43" s="27" t="s">
        <v>160</v>
      </c>
      <c r="D43" s="84">
        <f>SUMIF([1]PMDN!$F$2:$F$436, C43,
       [1]PMDN!$T$2:$T$436)
+
SUMIF([1]PMA!$F$2:$F$21, C43,
       [1]PMA!$T$2:$T$21)</f>
        <v>2418326714</v>
      </c>
      <c r="E43" s="69">
        <f>D43/J27</f>
        <v>1.2024559787863966E-4</v>
      </c>
    </row>
    <row r="44" spans="1:7" x14ac:dyDescent="0.35">
      <c r="A44" s="117"/>
      <c r="B44" s="113"/>
      <c r="C44" s="27" t="s">
        <v>159</v>
      </c>
      <c r="D44" s="84">
        <f>SUMIF([1]PMDN!$F$2:$F$436, C44,
       [1]PMDN!$T$2:$T$436)
+
SUMIF([1]PMA!$F$2:$F$21, C44,
       [1]PMA!$T$2:$T$21)</f>
        <v>7679973080</v>
      </c>
      <c r="E44" s="69">
        <f>D44/J27</f>
        <v>3.8186856612479109E-4</v>
      </c>
    </row>
    <row r="45" spans="1:7" ht="28" x14ac:dyDescent="0.35">
      <c r="A45" s="117"/>
      <c r="B45" s="113"/>
      <c r="C45" s="27" t="s">
        <v>165</v>
      </c>
      <c r="D45" s="84">
        <f>SUMIF([1]PMDN!$F$2:$F$436, C45,
       [1]PMDN!$T$2:$T$436)
+
SUMIF([1]PMA!$F$2:$F$21, C45,
       [1]PMA!$T$2:$T$21)</f>
        <v>1500055280456</v>
      </c>
      <c r="E45" s="69">
        <f>D45/J27</f>
        <v>7.4586714444011312E-2</v>
      </c>
    </row>
    <row r="46" spans="1:7" x14ac:dyDescent="0.35">
      <c r="A46" s="117"/>
      <c r="B46" s="113"/>
      <c r="C46" s="27" t="s">
        <v>161</v>
      </c>
      <c r="D46" s="84">
        <f>SUMIF([1]PMDN!$F$2:$F$436, C46,
       [1]PMDN!$T$2:$T$436)
+
SUMIF([1]PMA!$F$2:$F$21, C46,
       [1]PMA!$T$2:$T$21)</f>
        <v>9018656699</v>
      </c>
      <c r="E46" s="69">
        <f>D46/J27</f>
        <v>4.4843145492104658E-4</v>
      </c>
    </row>
    <row r="47" spans="1:7" x14ac:dyDescent="0.35">
      <c r="A47" s="117"/>
      <c r="B47" s="113"/>
      <c r="C47" s="27" t="s">
        <v>162</v>
      </c>
      <c r="D47" s="84">
        <f>SUMIF([1]PMDN!$F$2:$F$436, C47,
       [1]PMDN!$T$2:$T$436)
+
SUMIF([1]PMA!$F$2:$F$21, C47,
       [1]PMA!$T$2:$T$21)</f>
        <v>653342000</v>
      </c>
      <c r="E47" s="69">
        <f>D47/J27</f>
        <v>3.2485891568919825E-5</v>
      </c>
    </row>
    <row r="48" spans="1:7" x14ac:dyDescent="0.35">
      <c r="A48" s="117"/>
      <c r="B48" s="113"/>
      <c r="C48" s="27" t="s">
        <v>163</v>
      </c>
      <c r="D48" s="84">
        <f>SUMIF([1]PMDN!$F$2:$F$436, C48,
       [1]PMDN!$T$2:$T$436)
+
SUMIF([1]PMA!$F$2:$F$21, C48,
       [1]PMA!$T$2:$T$21)</f>
        <v>0</v>
      </c>
      <c r="E48" s="69">
        <f>D48/J27</f>
        <v>0</v>
      </c>
    </row>
    <row r="49" spans="1:5" x14ac:dyDescent="0.35">
      <c r="A49" s="117"/>
      <c r="B49" s="113"/>
      <c r="C49" s="27" t="s">
        <v>164</v>
      </c>
      <c r="D49" s="84">
        <f>SUMIF([1]PMDN!$F$2:$F$436, C49,
       [1]PMDN!$T$2:$T$436)
+
SUMIF([1]PMA!$F$2:$F$21, C49,
       [1]PMA!$T$2:$T$21)</f>
        <v>0</v>
      </c>
      <c r="E49" s="69">
        <f>D49/J27</f>
        <v>0</v>
      </c>
    </row>
    <row r="50" spans="1:5" ht="28" x14ac:dyDescent="0.35">
      <c r="A50" s="117"/>
      <c r="B50" s="113"/>
      <c r="C50" s="27" t="s">
        <v>166</v>
      </c>
      <c r="D50" s="84">
        <f>SUMIF([1]PMDN!$F$2:$F$436, C50,
       [1]PMDN!$T$2:$T$436)
+
SUMIF([1]PMA!$F$2:$F$21, C50,
       [1]PMA!$T$2:$T$21)</f>
        <v>25000000</v>
      </c>
      <c r="E50" s="85">
        <f>D50/J27</f>
        <v>1.2430660958931092E-6</v>
      </c>
    </row>
    <row r="51" spans="1:5" x14ac:dyDescent="0.35">
      <c r="A51" s="117"/>
      <c r="B51" s="113"/>
      <c r="C51" s="27" t="s">
        <v>167</v>
      </c>
      <c r="D51" s="84">
        <f>SUMIF([1]PMDN!$F$2:$F$436, C51,
       [1]PMDN!$T$2:$T$436)
+
SUMIF([1]PMA!$F$2:$F$21, C51,
       [1]PMA!$T$2:$T$21)</f>
        <v>0</v>
      </c>
      <c r="E51" s="86">
        <f>D51/J27</f>
        <v>0</v>
      </c>
    </row>
    <row r="52" spans="1:5" x14ac:dyDescent="0.35">
      <c r="A52" s="117"/>
      <c r="B52" s="113"/>
      <c r="C52" s="27" t="s">
        <v>168</v>
      </c>
      <c r="D52" s="84">
        <f>SUMIF([1]PMDN!$F$2:$F$436, C52,
       [1]PMDN!$T$2:$T$436)
+
SUMIF([1]PMA!$F$2:$F$21, C52,
       [1]PMA!$T$2:$T$21)</f>
        <v>0</v>
      </c>
      <c r="E52" s="86">
        <f>D52/J27*100</f>
        <v>0</v>
      </c>
    </row>
    <row r="53" spans="1:5" x14ac:dyDescent="0.35">
      <c r="A53" s="117"/>
    </row>
    <row r="54" spans="1:5" x14ac:dyDescent="0.35">
      <c r="A54" s="117"/>
    </row>
    <row r="55" spans="1:5" x14ac:dyDescent="0.35">
      <c r="A55" s="117"/>
      <c r="B55" s="112" t="s">
        <v>200</v>
      </c>
      <c r="C55" s="81" t="s">
        <v>202</v>
      </c>
      <c r="D55" s="22" t="s">
        <v>207</v>
      </c>
    </row>
    <row r="56" spans="1:5" x14ac:dyDescent="0.35">
      <c r="A56" s="117"/>
      <c r="B56" s="113"/>
      <c r="C56" s="27" t="s">
        <v>149</v>
      </c>
      <c r="D56" s="83">
        <f>D32/J27</f>
        <v>0.59914377157267273</v>
      </c>
    </row>
    <row r="57" spans="1:5" x14ac:dyDescent="0.35">
      <c r="A57" s="117"/>
      <c r="B57" s="113"/>
      <c r="C57" s="27" t="s">
        <v>148</v>
      </c>
      <c r="D57" s="83">
        <f>D33/J27</f>
        <v>2.3693793963915355E-2</v>
      </c>
    </row>
    <row r="58" spans="1:5" ht="28" x14ac:dyDescent="0.35">
      <c r="A58" s="117"/>
      <c r="B58" s="113"/>
      <c r="C58" s="27" t="s">
        <v>151</v>
      </c>
      <c r="D58" s="83">
        <f>D34/J27</f>
        <v>9.6140657544558222E-2</v>
      </c>
    </row>
    <row r="59" spans="1:5" x14ac:dyDescent="0.35">
      <c r="A59" s="117"/>
      <c r="B59" s="113"/>
      <c r="C59" s="27" t="s">
        <v>150</v>
      </c>
      <c r="D59" s="83">
        <f>D35/J27</f>
        <v>3.5084106202504012E-4</v>
      </c>
    </row>
    <row r="60" spans="1:5" ht="28" x14ac:dyDescent="0.35">
      <c r="A60" s="117"/>
      <c r="B60" s="113"/>
      <c r="C60" s="27" t="s">
        <v>153</v>
      </c>
      <c r="D60" s="107">
        <f>D36/J27</f>
        <v>5.1513239448060175E-2</v>
      </c>
    </row>
    <row r="61" spans="1:5" x14ac:dyDescent="0.35">
      <c r="A61" s="117"/>
      <c r="B61" s="113"/>
      <c r="C61" s="27" t="s">
        <v>152</v>
      </c>
      <c r="D61" s="83">
        <f>D37/J27</f>
        <v>1.5676722726665347E-2</v>
      </c>
    </row>
    <row r="62" spans="1:5" x14ac:dyDescent="0.35">
      <c r="A62" s="117"/>
      <c r="B62" s="113"/>
      <c r="C62" s="27" t="s">
        <v>155</v>
      </c>
      <c r="D62" s="83">
        <f>D38/J27</f>
        <v>7.254095763086732E-2</v>
      </c>
    </row>
    <row r="63" spans="1:5" x14ac:dyDescent="0.35">
      <c r="A63" s="117"/>
      <c r="B63" s="113"/>
      <c r="C63" s="27" t="s">
        <v>156</v>
      </c>
      <c r="D63" s="107">
        <f>D39/J27</f>
        <v>1.0230680434053195E-2</v>
      </c>
    </row>
    <row r="64" spans="1:5" ht="28" x14ac:dyDescent="0.35">
      <c r="A64" s="117"/>
      <c r="B64" s="113"/>
      <c r="C64" s="27" t="s">
        <v>154</v>
      </c>
      <c r="D64" s="107">
        <f>D40/J27</f>
        <v>2.3671956122177009E-3</v>
      </c>
    </row>
    <row r="65" spans="1:4" x14ac:dyDescent="0.35">
      <c r="A65" s="117"/>
      <c r="B65" s="113"/>
      <c r="C65" s="27" t="s">
        <v>157</v>
      </c>
      <c r="D65" s="83">
        <f>D41/J27</f>
        <v>5.1485316548622262E-2</v>
      </c>
    </row>
    <row r="66" spans="1:4" ht="42" x14ac:dyDescent="0.35">
      <c r="A66" s="117"/>
      <c r="B66" s="113"/>
      <c r="C66" s="27" t="s">
        <v>158</v>
      </c>
      <c r="D66" s="83">
        <f>D42/J27</f>
        <v>1.2858344357419968E-3</v>
      </c>
    </row>
    <row r="67" spans="1:4" x14ac:dyDescent="0.35">
      <c r="A67" s="117"/>
      <c r="B67" s="113"/>
      <c r="C67" s="27" t="s">
        <v>160</v>
      </c>
      <c r="D67" s="83">
        <f>D43/J27</f>
        <v>1.2024559787863966E-4</v>
      </c>
    </row>
    <row r="68" spans="1:4" x14ac:dyDescent="0.35">
      <c r="A68" s="117"/>
      <c r="B68" s="113"/>
      <c r="C68" s="27" t="s">
        <v>159</v>
      </c>
      <c r="D68" s="83">
        <f>D44/J27</f>
        <v>3.8186856612479109E-4</v>
      </c>
    </row>
    <row r="69" spans="1:4" ht="28" x14ac:dyDescent="0.35">
      <c r="A69" s="117"/>
      <c r="B69" s="113"/>
      <c r="C69" s="27" t="s">
        <v>165</v>
      </c>
      <c r="D69" s="83">
        <f>D45/J27</f>
        <v>7.4586714444011312E-2</v>
      </c>
    </row>
    <row r="70" spans="1:4" x14ac:dyDescent="0.35">
      <c r="A70" s="117"/>
      <c r="B70" s="113"/>
      <c r="C70" s="27" t="s">
        <v>161</v>
      </c>
      <c r="D70" s="83">
        <f>D46/J27</f>
        <v>4.4843145492104658E-4</v>
      </c>
    </row>
    <row r="71" spans="1:4" x14ac:dyDescent="0.35">
      <c r="A71" s="117"/>
      <c r="B71" s="113"/>
      <c r="C71" s="27" t="s">
        <v>162</v>
      </c>
      <c r="D71" s="83">
        <f>D47/J27</f>
        <v>3.2485891568919825E-5</v>
      </c>
    </row>
    <row r="72" spans="1:4" x14ac:dyDescent="0.35">
      <c r="A72" s="117"/>
      <c r="B72" s="113"/>
      <c r="C72" s="27" t="s">
        <v>163</v>
      </c>
      <c r="D72" s="83">
        <f>D48/J27</f>
        <v>0</v>
      </c>
    </row>
    <row r="73" spans="1:4" x14ac:dyDescent="0.35">
      <c r="A73" s="117"/>
      <c r="B73" s="113"/>
      <c r="C73" s="27" t="s">
        <v>164</v>
      </c>
      <c r="D73" s="83">
        <f>D49/J27</f>
        <v>0</v>
      </c>
    </row>
    <row r="74" spans="1:4" ht="28" x14ac:dyDescent="0.35">
      <c r="A74" s="117"/>
      <c r="B74" s="113"/>
      <c r="C74" s="27" t="s">
        <v>166</v>
      </c>
      <c r="D74" s="83">
        <f>D50/J27</f>
        <v>1.2430660958931092E-6</v>
      </c>
    </row>
    <row r="75" spans="1:4" x14ac:dyDescent="0.35">
      <c r="A75" s="117"/>
      <c r="B75" s="113"/>
      <c r="C75" s="27" t="s">
        <v>167</v>
      </c>
      <c r="D75" s="83">
        <f>D51/J27</f>
        <v>0</v>
      </c>
    </row>
    <row r="76" spans="1:4" x14ac:dyDescent="0.35">
      <c r="A76" s="117"/>
      <c r="B76" s="113"/>
      <c r="C76" s="27" t="s">
        <v>168</v>
      </c>
      <c r="D76" s="83">
        <f>D52/J27</f>
        <v>0</v>
      </c>
    </row>
    <row r="77" spans="1:4" x14ac:dyDescent="0.35">
      <c r="A77" s="117"/>
    </row>
    <row r="78" spans="1:4" x14ac:dyDescent="0.35">
      <c r="A78" s="117"/>
    </row>
    <row r="79" spans="1:4" x14ac:dyDescent="0.35">
      <c r="A79" s="117"/>
      <c r="B79" s="115" t="s">
        <v>246</v>
      </c>
      <c r="C79" s="106"/>
      <c r="D79" s="106"/>
    </row>
    <row r="80" spans="1:4" x14ac:dyDescent="0.35">
      <c r="A80" s="117"/>
      <c r="B80" s="112" t="s">
        <v>200</v>
      </c>
      <c r="C80" s="81" t="s">
        <v>202</v>
      </c>
      <c r="D80" s="22" t="s">
        <v>207</v>
      </c>
    </row>
    <row r="81" spans="1:4" x14ac:dyDescent="0.35">
      <c r="A81" s="117"/>
      <c r="B81" s="113">
        <v>1</v>
      </c>
      <c r="C81" s="27" t="s">
        <v>149</v>
      </c>
      <c r="D81" s="83">
        <f>D32/J27</f>
        <v>0.59914377157267273</v>
      </c>
    </row>
    <row r="82" spans="1:4" ht="28" x14ac:dyDescent="0.35">
      <c r="A82" s="117"/>
      <c r="B82" s="113">
        <v>2</v>
      </c>
      <c r="C82" s="27" t="s">
        <v>151</v>
      </c>
      <c r="D82" s="83">
        <v>9.6100000000000005E-2</v>
      </c>
    </row>
    <row r="83" spans="1:4" ht="28" x14ac:dyDescent="0.35">
      <c r="A83" s="117"/>
      <c r="B83" s="113">
        <v>3</v>
      </c>
      <c r="C83" s="27" t="s">
        <v>165</v>
      </c>
      <c r="D83" s="83">
        <v>7.46E-2</v>
      </c>
    </row>
    <row r="84" spans="1:4" x14ac:dyDescent="0.35">
      <c r="A84" s="117"/>
      <c r="B84" s="113">
        <v>4</v>
      </c>
      <c r="C84" s="27" t="s">
        <v>155</v>
      </c>
      <c r="D84" s="83">
        <v>7.2499999999999995E-2</v>
      </c>
    </row>
    <row r="85" spans="1:4" x14ac:dyDescent="0.35">
      <c r="A85" s="117"/>
      <c r="B85" s="113">
        <v>5</v>
      </c>
      <c r="C85" s="27" t="s">
        <v>157</v>
      </c>
      <c r="D85" s="83">
        <v>5.1499999999999997E-2</v>
      </c>
    </row>
    <row r="86" spans="1:4" x14ac:dyDescent="0.35">
      <c r="A86" s="117"/>
      <c r="B86" s="113">
        <v>6</v>
      </c>
      <c r="C86" s="27" t="s">
        <v>148</v>
      </c>
      <c r="D86" s="83">
        <v>2.3699999999999999E-2</v>
      </c>
    </row>
    <row r="87" spans="1:4" x14ac:dyDescent="0.35">
      <c r="A87" s="117"/>
      <c r="B87" s="113">
        <v>7</v>
      </c>
      <c r="C87" s="27" t="s">
        <v>247</v>
      </c>
      <c r="D87" s="83">
        <v>1.5699999999999999E-2</v>
      </c>
    </row>
    <row r="88" spans="1:4" ht="42" x14ac:dyDescent="0.35">
      <c r="A88" s="117"/>
      <c r="B88" s="113">
        <v>8</v>
      </c>
      <c r="C88" s="27" t="s">
        <v>245</v>
      </c>
      <c r="D88" s="83">
        <v>1.2999999999999999E-3</v>
      </c>
    </row>
    <row r="89" spans="1:4" ht="28" x14ac:dyDescent="0.35">
      <c r="A89" s="117"/>
      <c r="B89" s="113">
        <v>9</v>
      </c>
      <c r="C89" s="27" t="s">
        <v>153</v>
      </c>
      <c r="D89" s="83">
        <v>5.0000000000000001E-4</v>
      </c>
    </row>
    <row r="90" spans="1:4" x14ac:dyDescent="0.35">
      <c r="A90" s="117"/>
      <c r="B90" s="113">
        <v>10</v>
      </c>
      <c r="C90" s="27" t="s">
        <v>159</v>
      </c>
      <c r="D90" s="83">
        <v>4.0000000000000002E-4</v>
      </c>
    </row>
    <row r="91" spans="1:4" x14ac:dyDescent="0.35">
      <c r="A91" s="117"/>
      <c r="B91" s="113">
        <v>11</v>
      </c>
      <c r="C91" s="27" t="s">
        <v>150</v>
      </c>
      <c r="D91" s="83">
        <v>4.0000000000000002E-4</v>
      </c>
    </row>
    <row r="92" spans="1:4" x14ac:dyDescent="0.35">
      <c r="A92" s="117"/>
      <c r="B92" s="113">
        <v>12</v>
      </c>
      <c r="C92" s="27" t="s">
        <v>161</v>
      </c>
      <c r="D92" s="83">
        <v>4.0000000000000002E-4</v>
      </c>
    </row>
    <row r="93" spans="1:4" x14ac:dyDescent="0.35">
      <c r="A93" s="117"/>
      <c r="B93" s="113">
        <v>13</v>
      </c>
      <c r="C93" s="27" t="s">
        <v>160</v>
      </c>
      <c r="D93" s="83">
        <v>1E-4</v>
      </c>
    </row>
    <row r="94" spans="1:4" x14ac:dyDescent="0.35">
      <c r="A94" s="117"/>
      <c r="B94" s="113">
        <v>14</v>
      </c>
      <c r="C94" s="27" t="s">
        <v>156</v>
      </c>
      <c r="D94" s="83">
        <v>1E-4</v>
      </c>
    </row>
    <row r="95" spans="1:4" ht="28" x14ac:dyDescent="0.35">
      <c r="A95" s="117"/>
      <c r="B95" s="113">
        <v>15</v>
      </c>
      <c r="C95" s="27" t="s">
        <v>154</v>
      </c>
      <c r="D95" s="83">
        <v>2.0000000000000002E-5</v>
      </c>
    </row>
    <row r="96" spans="1:4" x14ac:dyDescent="0.35">
      <c r="A96" s="117"/>
      <c r="B96" s="113">
        <v>16</v>
      </c>
      <c r="C96" s="27" t="s">
        <v>168</v>
      </c>
      <c r="D96" s="83">
        <v>0</v>
      </c>
    </row>
    <row r="97" spans="1:4" ht="28" x14ac:dyDescent="0.35">
      <c r="A97" s="117"/>
      <c r="B97" s="113">
        <v>17</v>
      </c>
      <c r="C97" s="27" t="s">
        <v>166</v>
      </c>
      <c r="D97" s="83">
        <v>0</v>
      </c>
    </row>
    <row r="98" spans="1:4" x14ac:dyDescent="0.35">
      <c r="A98" s="117"/>
      <c r="B98" s="113">
        <v>18</v>
      </c>
      <c r="C98" s="27" t="s">
        <v>167</v>
      </c>
      <c r="D98" s="83">
        <v>0</v>
      </c>
    </row>
    <row r="99" spans="1:4" x14ac:dyDescent="0.35">
      <c r="A99" s="117"/>
      <c r="B99" s="113">
        <v>19</v>
      </c>
      <c r="C99" s="27" t="s">
        <v>164</v>
      </c>
      <c r="D99" s="83">
        <v>0</v>
      </c>
    </row>
    <row r="100" spans="1:4" x14ac:dyDescent="0.35">
      <c r="A100" s="117"/>
      <c r="B100" s="113">
        <v>20</v>
      </c>
      <c r="C100" s="27" t="s">
        <v>163</v>
      </c>
      <c r="D100" s="83">
        <v>0</v>
      </c>
    </row>
    <row r="101" spans="1:4" x14ac:dyDescent="0.35">
      <c r="A101" s="118"/>
      <c r="B101" s="113">
        <v>21</v>
      </c>
      <c r="C101" s="105" t="s">
        <v>162</v>
      </c>
      <c r="D101" s="83">
        <v>0</v>
      </c>
    </row>
  </sheetData>
  <sortState xmlns:xlrd2="http://schemas.microsoft.com/office/spreadsheetml/2017/richdata2" ref="B32:D53">
    <sortCondition descending="1" ref="D32"/>
  </sortState>
  <mergeCells count="3">
    <mergeCell ref="B27:C27"/>
    <mergeCell ref="B3:J4"/>
    <mergeCell ref="B79:D79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B6E7-8F06-4E3A-B26C-36B7E635A77A}">
  <dimension ref="A3:H42"/>
  <sheetViews>
    <sheetView tabSelected="1" topLeftCell="A16" zoomScale="47" workbookViewId="0">
      <selection activeCell="W23" sqref="W23"/>
    </sheetView>
  </sheetViews>
  <sheetFormatPr defaultRowHeight="14.5" x14ac:dyDescent="0.35"/>
  <cols>
    <col min="1" max="1" width="3.453125" bestFit="1" customWidth="1"/>
    <col min="2" max="2" width="38.1796875" customWidth="1"/>
    <col min="3" max="3" width="18" style="21" customWidth="1"/>
    <col min="4" max="4" width="24.81640625" bestFit="1" customWidth="1"/>
    <col min="5" max="5" width="21.36328125" bestFit="1" customWidth="1"/>
    <col min="7" max="7" width="28.1796875" customWidth="1"/>
    <col min="8" max="8" width="8.90625" style="21"/>
  </cols>
  <sheetData>
    <row r="3" spans="1:8" x14ac:dyDescent="0.35">
      <c r="A3" s="10" t="s">
        <v>200</v>
      </c>
      <c r="B3" s="11"/>
      <c r="C3" s="19" t="s">
        <v>198</v>
      </c>
      <c r="D3" s="16" t="s">
        <v>169</v>
      </c>
    </row>
    <row r="4" spans="1:8" x14ac:dyDescent="0.35">
      <c r="A4" s="26">
        <v>1</v>
      </c>
      <c r="B4" s="27" t="s">
        <v>150</v>
      </c>
      <c r="C4" s="20">
        <f>D4/D25</f>
        <v>4.3154220593305575E-4</v>
      </c>
      <c r="D4" s="14">
        <f>SUMIF([1]PMDN!$F$2:$F$436,B4,
[1]PMDN!$T$2:$T$436
)</f>
        <v>7055961529</v>
      </c>
      <c r="G4" s="2" t="s">
        <v>149</v>
      </c>
      <c r="H4" s="21">
        <v>0.35386631370455807</v>
      </c>
    </row>
    <row r="5" spans="1:8" ht="41.5" customHeight="1" x14ac:dyDescent="0.35">
      <c r="A5" s="26">
        <v>2</v>
      </c>
      <c r="B5" s="27" t="s">
        <v>158</v>
      </c>
      <c r="C5" s="20">
        <f>D5/D25</f>
        <v>1.5816045751941765E-3</v>
      </c>
      <c r="D5" s="14">
        <f>SUMIF([1]PMDN!$F$2:$F$436,B5,
[1]PMDN!$T$2:$T$436
)</f>
        <v>25860138089</v>
      </c>
      <c r="G5" s="2" t="s">
        <v>148</v>
      </c>
      <c r="H5" s="21">
        <v>0.19212520501131983</v>
      </c>
    </row>
    <row r="6" spans="1:8" x14ac:dyDescent="0.35">
      <c r="A6" s="26">
        <v>3</v>
      </c>
      <c r="B6" s="27" t="s">
        <v>162</v>
      </c>
      <c r="C6" s="20">
        <f>D6/D25</f>
        <v>3.9958359572954317E-5</v>
      </c>
      <c r="D6" s="14">
        <f>SUMIF([1]PMDN!$F$2:$F$436,B6,
[1]PMDN!$T$2:$T$436
)</f>
        <v>653342000</v>
      </c>
      <c r="G6" s="2" t="s">
        <v>151</v>
      </c>
      <c r="H6" s="21">
        <v>0.16517218326197622</v>
      </c>
    </row>
    <row r="7" spans="1:8" x14ac:dyDescent="0.35">
      <c r="A7" s="26">
        <v>4</v>
      </c>
      <c r="B7" s="27" t="s">
        <v>167</v>
      </c>
      <c r="C7" s="20">
        <f>D7/D25</f>
        <v>0</v>
      </c>
      <c r="D7" s="14">
        <f>SUMIF([1]PMDN!$F$2:$F$436,B7,
[1]PMDN!$T$2:$T$436
)</f>
        <v>0</v>
      </c>
      <c r="G7" s="2" t="s">
        <v>150</v>
      </c>
      <c r="H7" s="21">
        <v>0.13120358624452363</v>
      </c>
    </row>
    <row r="8" spans="1:8" ht="28" x14ac:dyDescent="0.35">
      <c r="A8" s="26">
        <v>5</v>
      </c>
      <c r="B8" s="27" t="s">
        <v>166</v>
      </c>
      <c r="C8" s="20">
        <f>D8/D25</f>
        <v>1.528998578575781E-6</v>
      </c>
      <c r="D8" s="14">
        <f>SUMIF([1]PMDN!$F$2:$F$436,B8,
[1]PMDN!$T$2:$T$436
)</f>
        <v>25000000</v>
      </c>
      <c r="G8" s="2" t="s">
        <v>153</v>
      </c>
      <c r="H8" s="21">
        <v>4.9664636054933035E-2</v>
      </c>
    </row>
    <row r="9" spans="1:8" x14ac:dyDescent="0.35">
      <c r="A9" s="26">
        <v>6</v>
      </c>
      <c r="B9" s="27" t="s">
        <v>164</v>
      </c>
      <c r="C9" s="20">
        <f>D9/D25</f>
        <v>0</v>
      </c>
      <c r="D9" s="14">
        <f>SUMIF([1]PMDN!$F$2:$F$436,B9,
[1]PMDN!$T$2:$T$436
)</f>
        <v>0</v>
      </c>
      <c r="G9" s="2" t="s">
        <v>152</v>
      </c>
      <c r="H9" s="21">
        <v>4.7219567083281705E-2</v>
      </c>
    </row>
    <row r="10" spans="1:8" x14ac:dyDescent="0.35">
      <c r="A10" s="26">
        <v>7</v>
      </c>
      <c r="B10" s="27" t="s">
        <v>152</v>
      </c>
      <c r="C10" s="20">
        <f>D10/D25</f>
        <v>1.9282712998922546E-2</v>
      </c>
      <c r="D10" s="14">
        <f>SUMIF([1]PMDN!$F$2:$F$436,B10,
[1]PMDN!$T$2:$T$436
)</f>
        <v>315283370258</v>
      </c>
      <c r="G10" s="2" t="s">
        <v>155</v>
      </c>
      <c r="H10" s="21">
        <v>2.026368823333034E-2</v>
      </c>
    </row>
    <row r="11" spans="1:8" x14ac:dyDescent="0.35">
      <c r="A11" s="26">
        <v>8</v>
      </c>
      <c r="B11" s="27" t="s">
        <v>163</v>
      </c>
      <c r="C11" s="20">
        <f>D11/D$25</f>
        <v>0</v>
      </c>
      <c r="D11" s="14">
        <f>SUMIF([1]PMDN!$F$2:$F$436,B11,
[1]PMDN!$T$2:$T$436
)</f>
        <v>0</v>
      </c>
      <c r="G11" s="2" t="s">
        <v>156</v>
      </c>
      <c r="H11" s="21">
        <v>1.2667595378216764E-2</v>
      </c>
    </row>
    <row r="12" spans="1:8" ht="28" x14ac:dyDescent="0.35">
      <c r="A12" s="26">
        <v>9</v>
      </c>
      <c r="B12" s="27" t="s">
        <v>165</v>
      </c>
      <c r="C12" s="20">
        <f t="shared" ref="C12:C24" si="0">D12/D$25</f>
        <v>6.2533065209316666E-6</v>
      </c>
      <c r="D12" s="14">
        <f>SUMIF([1]PMDN!$F$2:$F$436,B12,
[1]PMDN!$T$2:$T$436
)</f>
        <v>102245133</v>
      </c>
      <c r="G12" s="2" t="s">
        <v>154</v>
      </c>
      <c r="H12" s="21">
        <v>9.3229708472286552E-3</v>
      </c>
    </row>
    <row r="13" spans="1:8" x14ac:dyDescent="0.35">
      <c r="A13" s="26">
        <v>10</v>
      </c>
      <c r="B13" s="27" t="s">
        <v>157</v>
      </c>
      <c r="C13" s="20">
        <f t="shared" si="0"/>
        <v>6.3328069263934597E-2</v>
      </c>
      <c r="D13" s="14">
        <f>SUMIF([1]PMDN!$F$2:$F$436,B13,
[1]PMDN!$T$2:$T$436
)</f>
        <v>1035450100335</v>
      </c>
      <c r="G13" s="2" t="s">
        <v>157</v>
      </c>
      <c r="H13" s="21">
        <v>8.717799849286112E-3</v>
      </c>
    </row>
    <row r="14" spans="1:8" x14ac:dyDescent="0.35">
      <c r="A14" s="26">
        <v>11</v>
      </c>
      <c r="B14" s="27" t="s">
        <v>168</v>
      </c>
      <c r="C14" s="20">
        <f t="shared" si="0"/>
        <v>0</v>
      </c>
      <c r="D14" s="14">
        <f>SUMIF([1]PMDN!$F$2:$F$436,B14,
[1]PMDN!$T$2:$T$436
)</f>
        <v>0</v>
      </c>
      <c r="G14" s="2" t="s">
        <v>158</v>
      </c>
      <c r="H14" s="21">
        <v>3.1279333302402039E-3</v>
      </c>
    </row>
    <row r="15" spans="1:8" x14ac:dyDescent="0.35">
      <c r="A15" s="26">
        <v>12</v>
      </c>
      <c r="B15" s="27" t="s">
        <v>148</v>
      </c>
      <c r="C15" s="20">
        <f t="shared" si="0"/>
        <v>2.9143886565311982E-2</v>
      </c>
      <c r="D15" s="14">
        <f>SUMIF([1]PMDN!$F$2:$F$436,B15,
[1]PMDN!$T$2:$T$436
)</f>
        <v>476519189973</v>
      </c>
      <c r="G15" s="2" t="s">
        <v>160</v>
      </c>
      <c r="H15" s="21">
        <v>2.5315521625158747E-3</v>
      </c>
    </row>
    <row r="16" spans="1:8" x14ac:dyDescent="0.35">
      <c r="A16" s="26">
        <v>13</v>
      </c>
      <c r="B16" s="27" t="s">
        <v>159</v>
      </c>
      <c r="C16" s="20">
        <f t="shared" si="0"/>
        <v>4.6970671691281049E-4</v>
      </c>
      <c r="D16" s="14">
        <f>SUMIF([1]PMDN!$F$2:$F$436,B16,
[1]PMDN!$T$2:$T$436
)</f>
        <v>7679973080</v>
      </c>
      <c r="G16" s="2" t="s">
        <v>159</v>
      </c>
      <c r="H16" s="21">
        <v>2.3131785514467515E-3</v>
      </c>
    </row>
    <row r="17" spans="1:8" x14ac:dyDescent="0.35">
      <c r="A17" s="26">
        <v>14</v>
      </c>
      <c r="B17" s="27" t="s">
        <v>156</v>
      </c>
      <c r="C17" s="20">
        <f t="shared" si="0"/>
        <v>1.258396145885673E-2</v>
      </c>
      <c r="D17" s="14">
        <f>SUMIF([1]PMDN!$F$2:$F$436,B17,
[1]PMDN!$T$2:$T$436
)</f>
        <v>205754956793</v>
      </c>
      <c r="G17" s="2" t="s">
        <v>161</v>
      </c>
      <c r="H17" s="21">
        <v>1.0344829565011289E-3</v>
      </c>
    </row>
    <row r="18" spans="1:8" x14ac:dyDescent="0.35">
      <c r="A18" s="26">
        <v>15</v>
      </c>
      <c r="B18" s="27" t="s">
        <v>161</v>
      </c>
      <c r="C18" s="20">
        <f t="shared" si="0"/>
        <v>5.5158053093735775E-4</v>
      </c>
      <c r="D18" s="14">
        <f>SUMIF([1]PMDN!$F$2:$F$436,B18,
[1]PMDN!$T$2:$T$436
)</f>
        <v>9018656699</v>
      </c>
      <c r="G18" s="2" t="s">
        <v>162</v>
      </c>
      <c r="H18" s="21">
        <v>3.9549977113568331E-4</v>
      </c>
    </row>
    <row r="19" spans="1:8" x14ac:dyDescent="0.35">
      <c r="A19" s="26">
        <v>16</v>
      </c>
      <c r="B19" s="27" t="s">
        <v>155</v>
      </c>
      <c r="C19" s="20">
        <f t="shared" si="0"/>
        <v>8.9226969887254995E-2</v>
      </c>
      <c r="D19" s="14">
        <f>SUMIF([1]PMDN!$F$2:$F$436,B19,
[1]PMDN!$T$2:$T$436
)</f>
        <v>1458911916883</v>
      </c>
      <c r="G19" s="2" t="s">
        <v>163</v>
      </c>
      <c r="H19" s="21">
        <v>1.3875178569413616E-4</v>
      </c>
    </row>
    <row r="20" spans="1:8" x14ac:dyDescent="0.35">
      <c r="A20" s="26">
        <v>17</v>
      </c>
      <c r="B20" s="27" t="s">
        <v>160</v>
      </c>
      <c r="C20" s="20">
        <f t="shared" si="0"/>
        <v>1.4790472432951358E-4</v>
      </c>
      <c r="D20" s="14">
        <f>SUMIF([1]PMDN!$F$2:$F$436,B20,
[1]PMDN!$T$2:$T$436
)</f>
        <v>2418326714</v>
      </c>
      <c r="G20" s="2" t="s">
        <v>164</v>
      </c>
      <c r="H20" s="21">
        <v>1.3444812366368231E-4</v>
      </c>
    </row>
    <row r="21" spans="1:8" x14ac:dyDescent="0.35">
      <c r="A21" s="26">
        <v>18</v>
      </c>
      <c r="B21" s="27" t="s">
        <v>149</v>
      </c>
      <c r="C21" s="20">
        <f t="shared" si="0"/>
        <v>0.60116914846247016</v>
      </c>
      <c r="D21" s="14">
        <f>SUMIF([1]PMDN!$F$2:$F$436,B21,
[1]PMDN!$T$2:$T$436
)</f>
        <v>9829458916542</v>
      </c>
      <c r="G21" s="2" t="s">
        <v>165</v>
      </c>
      <c r="H21" s="21">
        <v>9.1644441903957632E-5</v>
      </c>
    </row>
    <row r="22" spans="1:8" ht="28" x14ac:dyDescent="0.35">
      <c r="A22" s="26">
        <v>19</v>
      </c>
      <c r="B22" s="27" t="s">
        <v>154</v>
      </c>
      <c r="C22" s="20">
        <f t="shared" si="0"/>
        <v>2.9117025540715291E-3</v>
      </c>
      <c r="D22" s="14">
        <f>SUMIF([1]PMDN!$F$2:$F$436,B22,
[1]PMDN!$T$2:$T$436
)</f>
        <v>47607999688</v>
      </c>
      <c r="G22" s="2" t="s">
        <v>166</v>
      </c>
      <c r="H22" s="21">
        <v>8.9632082442454869E-6</v>
      </c>
    </row>
    <row r="23" spans="1:8" ht="28" x14ac:dyDescent="0.35">
      <c r="A23" s="26">
        <v>20</v>
      </c>
      <c r="B23" s="27" t="s">
        <v>153</v>
      </c>
      <c r="C23" s="20">
        <f t="shared" si="0"/>
        <v>6.0868350685417828E-2</v>
      </c>
      <c r="D23" s="14">
        <f>SUMIF([1]PMDN!$F$2:$F$436,B23,
[1]PMDN!$T$2:$T$436
)</f>
        <v>995232296784</v>
      </c>
      <c r="G23" s="2" t="s">
        <v>167</v>
      </c>
      <c r="H23" s="21">
        <v>0</v>
      </c>
    </row>
    <row r="24" spans="1:8" ht="28" x14ac:dyDescent="0.35">
      <c r="A24" s="12">
        <v>21</v>
      </c>
      <c r="B24" s="27" t="s">
        <v>151</v>
      </c>
      <c r="C24" s="20">
        <f t="shared" si="0"/>
        <v>0.11825511870578027</v>
      </c>
      <c r="D24" s="14">
        <f>SUMIF([1]PMDN!$F$2:$F$436,B24,
[1]PMDN!$T$2:$T$436
)</f>
        <v>1933538728596</v>
      </c>
      <c r="G24" s="2" t="s">
        <v>168</v>
      </c>
      <c r="H24" s="21">
        <v>0</v>
      </c>
    </row>
    <row r="25" spans="1:8" x14ac:dyDescent="0.35">
      <c r="A25" s="101" t="s">
        <v>216</v>
      </c>
      <c r="B25" s="101"/>
      <c r="C25" s="77">
        <f>SUM(C4:C24)</f>
        <v>1</v>
      </c>
      <c r="D25" s="74">
        <f>SUM(D4:D24)</f>
        <v>16350571119096</v>
      </c>
    </row>
    <row r="27" spans="1:8" x14ac:dyDescent="0.35">
      <c r="E27" s="18">
        <f>D25+D42</f>
        <v>23872551501006</v>
      </c>
    </row>
    <row r="29" spans="1:8" x14ac:dyDescent="0.35">
      <c r="A29" s="78" t="s">
        <v>200</v>
      </c>
      <c r="B29" s="11"/>
      <c r="C29" s="19" t="s">
        <v>198</v>
      </c>
      <c r="D29" s="16" t="s">
        <v>170</v>
      </c>
    </row>
    <row r="30" spans="1:8" ht="28.5" x14ac:dyDescent="0.35">
      <c r="A30" s="73">
        <v>1</v>
      </c>
      <c r="B30" s="13" t="s">
        <v>165</v>
      </c>
      <c r="C30" s="20">
        <f>D30/D$42</f>
        <v>0.19940932562524555</v>
      </c>
      <c r="D30" s="17">
        <f>SUMIF([1]PMA!$F$2:$F$21, B30,
       [1]PMA!$T$2:$T$21)</f>
        <v>1499953035323</v>
      </c>
    </row>
    <row r="31" spans="1:8" x14ac:dyDescent="0.35">
      <c r="A31" s="73">
        <v>2</v>
      </c>
      <c r="B31" s="13" t="s">
        <v>149</v>
      </c>
      <c r="C31" s="20">
        <f t="shared" ref="C31:C41" si="1">D31/D$42</f>
        <v>0.29516931263429147</v>
      </c>
      <c r="D31" s="17">
        <f>SUMIF([1]PMA!$F$2:$F$21, B31,
       [1]PMA!$T$2:$T$21)</f>
        <v>2220257778977</v>
      </c>
    </row>
    <row r="32" spans="1:8" ht="28.5" x14ac:dyDescent="0.35">
      <c r="A32" s="73">
        <v>3</v>
      </c>
      <c r="B32" s="13" t="s">
        <v>153</v>
      </c>
      <c r="C32" s="20">
        <f t="shared" si="1"/>
        <v>5.4213617404629813E-3</v>
      </c>
      <c r="D32" s="17">
        <f>SUMIF([1]PMA!$F$2:$F$21, B32,
       [1]PMA!$T$2:$T$21)</f>
        <v>40779376655</v>
      </c>
    </row>
    <row r="33" spans="1:4" ht="28.5" x14ac:dyDescent="0.35">
      <c r="A33" s="73">
        <v>4</v>
      </c>
      <c r="B33" s="13" t="s">
        <v>165</v>
      </c>
      <c r="C33" s="20">
        <f t="shared" si="1"/>
        <v>0.19940932562524555</v>
      </c>
      <c r="D33" s="17">
        <f>SUMIF([1]PMA!$F$2:$F$21, B33,
       [1]PMA!$T$2:$T$21)</f>
        <v>1499953035323</v>
      </c>
    </row>
    <row r="34" spans="1:4" x14ac:dyDescent="0.35">
      <c r="A34" s="73">
        <v>5</v>
      </c>
      <c r="B34" s="13" t="s">
        <v>148</v>
      </c>
      <c r="C34" s="20">
        <f t="shared" si="1"/>
        <v>0</v>
      </c>
      <c r="D34" s="17">
        <f>SUMIF([1]PMA!$F$2:$F$21, B34,
       [1]PMA!$T$2:$T$21)</f>
        <v>0</v>
      </c>
    </row>
    <row r="35" spans="1:4" ht="28.5" x14ac:dyDescent="0.35">
      <c r="A35" s="73">
        <v>6</v>
      </c>
      <c r="B35" s="13" t="s">
        <v>151</v>
      </c>
      <c r="C35" s="20">
        <f t="shared" si="1"/>
        <v>0</v>
      </c>
      <c r="D35" s="17">
        <f>SUMIF([1]PMA!$F$2:$F$21, B35,
       [1]PMA!$T$2:$T$21)</f>
        <v>0</v>
      </c>
    </row>
    <row r="36" spans="1:4" x14ac:dyDescent="0.35">
      <c r="A36" s="73">
        <v>7</v>
      </c>
      <c r="B36" s="13" t="s">
        <v>163</v>
      </c>
      <c r="C36" s="20">
        <f t="shared" si="1"/>
        <v>0</v>
      </c>
      <c r="D36" s="17">
        <f>SUMIF([1]PMA!$F$2:$F$21, B36,
       [1]PMA!$T$2:$T$21)</f>
        <v>0</v>
      </c>
    </row>
    <row r="37" spans="1:4" x14ac:dyDescent="0.35">
      <c r="A37" s="73">
        <v>8</v>
      </c>
      <c r="B37" s="13" t="s">
        <v>161</v>
      </c>
      <c r="C37" s="20">
        <f t="shared" si="1"/>
        <v>0</v>
      </c>
      <c r="D37" s="17">
        <f>SUMIF([1]PMA!$F$2:$F$21, B37,
       [1]PMA!$T$2:$T$21)</f>
        <v>0</v>
      </c>
    </row>
    <row r="38" spans="1:4" x14ac:dyDescent="0.35">
      <c r="A38" s="73">
        <v>9</v>
      </c>
      <c r="B38" s="13" t="s">
        <v>150</v>
      </c>
      <c r="C38" s="20">
        <f t="shared" si="1"/>
        <v>0</v>
      </c>
      <c r="D38" s="17">
        <f>SUMIF([1]PMA!$F$2:$F$21, B38,
       [1]PMA!$T$2:$T$21)</f>
        <v>0</v>
      </c>
    </row>
    <row r="39" spans="1:4" x14ac:dyDescent="0.35">
      <c r="A39" s="73">
        <v>10</v>
      </c>
      <c r="B39" s="13" t="s">
        <v>149</v>
      </c>
      <c r="C39" s="20">
        <f t="shared" si="1"/>
        <v>0.29516931263429147</v>
      </c>
      <c r="D39" s="17">
        <f>SUMIF([1]PMA!$F$2:$F$21, B39,
       [1]PMA!$T$2:$T$21)</f>
        <v>2220257778977</v>
      </c>
    </row>
    <row r="40" spans="1:4" ht="28.5" x14ac:dyDescent="0.35">
      <c r="A40" s="73">
        <v>11</v>
      </c>
      <c r="B40" s="13" t="s">
        <v>153</v>
      </c>
      <c r="C40" s="20">
        <f t="shared" si="1"/>
        <v>5.4213617404629813E-3</v>
      </c>
      <c r="D40" s="17">
        <f>SUMIF([1]PMA!$F$2:$F$21, B40,
       [1]PMA!$T$2:$T$21)</f>
        <v>40779376655</v>
      </c>
    </row>
    <row r="41" spans="1:4" ht="14.5" customHeight="1" x14ac:dyDescent="0.35">
      <c r="A41" s="73">
        <v>12</v>
      </c>
      <c r="B41" s="13" t="s">
        <v>155</v>
      </c>
      <c r="C41" s="75">
        <f t="shared" si="1"/>
        <v>0</v>
      </c>
      <c r="D41" s="76">
        <f>SUMIF([1]PMA!$F$2:$F$21, B41,
       [1]PMA!$T$2:$T$21)</f>
        <v>0</v>
      </c>
    </row>
    <row r="42" spans="1:4" x14ac:dyDescent="0.35">
      <c r="A42" s="101" t="s">
        <v>216</v>
      </c>
      <c r="B42" s="101"/>
      <c r="C42" s="77">
        <f>SUM(C30:C41)</f>
        <v>1</v>
      </c>
      <c r="D42" s="74">
        <f>SUM(D30:D41)</f>
        <v>7521980381910</v>
      </c>
    </row>
  </sheetData>
  <sortState xmlns:xlrd2="http://schemas.microsoft.com/office/spreadsheetml/2017/richdata2" ref="G4:H24">
    <sortCondition descending="1" ref="H3"/>
  </sortState>
  <mergeCells count="2">
    <mergeCell ref="A42:B42"/>
    <mergeCell ref="A25:B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1825-152C-41AB-BEE8-0E1A6882EE3C}">
  <sheetPr>
    <tabColor rgb="FF7030A0"/>
  </sheetPr>
  <dimension ref="A1:E29"/>
  <sheetViews>
    <sheetView topLeftCell="A4" zoomScale="63" workbookViewId="0">
      <selection activeCell="S11" sqref="S11"/>
    </sheetView>
  </sheetViews>
  <sheetFormatPr defaultRowHeight="14.5" x14ac:dyDescent="0.35"/>
  <cols>
    <col min="1" max="1" width="33.54296875" customWidth="1"/>
    <col min="2" max="2" width="8.1796875" bestFit="1" customWidth="1"/>
    <col min="3" max="3" width="8.7265625" customWidth="1"/>
    <col min="5" max="5" width="8.7265625" customWidth="1"/>
  </cols>
  <sheetData>
    <row r="1" spans="1:3" x14ac:dyDescent="0.35">
      <c r="A1" s="102" t="s">
        <v>191</v>
      </c>
      <c r="B1" s="102"/>
      <c r="C1" s="102"/>
    </row>
    <row r="3" spans="1:3" x14ac:dyDescent="0.35">
      <c r="A3" s="9" t="s">
        <v>142</v>
      </c>
      <c r="B3" s="9" t="s">
        <v>140</v>
      </c>
      <c r="C3" s="9" t="s">
        <v>141</v>
      </c>
    </row>
    <row r="4" spans="1:3" x14ac:dyDescent="0.35">
      <c r="A4" s="1" t="s">
        <v>15</v>
      </c>
      <c r="B4" s="1">
        <f>SUMIF([1]PMA!$H$2:$H$21, A4,[1]PMA!$X$2:$X$21)</f>
        <v>0</v>
      </c>
      <c r="C4" s="1">
        <f>SUMIF([1]PMA!$H$2:$H$21, A4,[1]PMA!$Y$2:$Y$21)</f>
        <v>0</v>
      </c>
    </row>
    <row r="5" spans="1:3" x14ac:dyDescent="0.35">
      <c r="A5" s="1" t="s">
        <v>16</v>
      </c>
      <c r="B5" s="1">
        <f>SUMIF([1]PMA!$H$2:$H$21, A5,[1]PMA!$X$2:$X$21)</f>
        <v>31</v>
      </c>
      <c r="C5" s="1">
        <f>SUMIF([1]PMA!$H$2:$H$21, A5,[1]PMA!$Y$2:$Y$21)</f>
        <v>6</v>
      </c>
    </row>
    <row r="6" spans="1:3" x14ac:dyDescent="0.35">
      <c r="A6" s="1" t="s">
        <v>22</v>
      </c>
      <c r="B6" s="1">
        <f>SUMIF([1]PMA!$H$2:$H$21, A6,[1]PMA!$X$2:$X$21)</f>
        <v>20</v>
      </c>
      <c r="C6" s="1">
        <f>SUMIF([1]PMA!$H$2:$H$21, A6,[1]PMA!$Y$2:$Y$21)</f>
        <v>54</v>
      </c>
    </row>
    <row r="7" spans="1:3" x14ac:dyDescent="0.35">
      <c r="A7" s="1" t="s">
        <v>20</v>
      </c>
      <c r="B7" s="1">
        <f>SUMIF([1]PMA!$H$2:$H$21, A7,[1]PMA!$X$2:$X$21)</f>
        <v>0</v>
      </c>
      <c r="C7" s="1">
        <f>SUMIF([1]PMA!$H$2:$H$21, A7,[1]PMA!$Y$2:$Y$21)</f>
        <v>0</v>
      </c>
    </row>
    <row r="8" spans="1:3" x14ac:dyDescent="0.35">
      <c r="A8" s="1" t="s">
        <v>23</v>
      </c>
      <c r="B8" s="1">
        <f>SUMIF([1]PMA!$H$2:$H$21, A8,[1]PMA!$X$2:$X$21)</f>
        <v>0</v>
      </c>
      <c r="C8" s="1">
        <f>SUMIF([1]PMA!$H$2:$H$21, A8,[1]PMA!$Y$2:$Y$21)</f>
        <v>0</v>
      </c>
    </row>
    <row r="9" spans="1:3" x14ac:dyDescent="0.35">
      <c r="A9" s="1" t="s">
        <v>19</v>
      </c>
      <c r="B9" s="1">
        <f>SUMIF([1]PMA!$H$2:$H$21, A9,[1]PMA!$X$2:$X$21)</f>
        <v>121</v>
      </c>
      <c r="C9" s="1">
        <f>SUMIF([1]PMA!$H$2:$H$21, A9,[1]PMA!$Y$2:$Y$21)</f>
        <v>0</v>
      </c>
    </row>
    <row r="10" spans="1:3" x14ac:dyDescent="0.35">
      <c r="A10" s="1" t="s">
        <v>218</v>
      </c>
      <c r="B10" s="1">
        <f>SUMIF([1]PMA!$H$2:$H$21, A10,[1]PMA!$X$2:$X$21)</f>
        <v>3</v>
      </c>
      <c r="C10" s="1">
        <f>SUMIF([1]PMA!$H$2:$H$21, A10,[1]PMA!$Y$2:$Y$21)</f>
        <v>0</v>
      </c>
    </row>
    <row r="11" spans="1:3" x14ac:dyDescent="0.35">
      <c r="A11" s="1" t="s">
        <v>18</v>
      </c>
      <c r="B11" s="1">
        <f>SUMIF([1]PMA!$H$2:$H$21, A11,[1]PMA!$X$2:$X$21)</f>
        <v>0</v>
      </c>
      <c r="C11" s="1">
        <f>SUMIF([1]PMA!$H$2:$H$21, A11,[1]PMA!$Y$2:$Y$21)</f>
        <v>0</v>
      </c>
    </row>
    <row r="12" spans="1:3" x14ac:dyDescent="0.35">
      <c r="A12" s="1" t="s">
        <v>219</v>
      </c>
      <c r="B12" s="1">
        <f>SUMIF([1]PMA!$H$2:$H$21, A12,[1]PMA!$X$2:$X$21)</f>
        <v>0</v>
      </c>
      <c r="C12" s="1">
        <f>SUMIF([1]PMA!$H$2:$H$21, A12,[1]PMA!$Y$2:$Y$21)</f>
        <v>0</v>
      </c>
    </row>
    <row r="13" spans="1:3" x14ac:dyDescent="0.35">
      <c r="A13" s="1" t="s">
        <v>220</v>
      </c>
      <c r="B13" s="1">
        <f>SUMIF([1]PMA!$H$2:$H$21, A13,[1]PMA!$X$2:$X$21)</f>
        <v>0</v>
      </c>
      <c r="C13" s="1">
        <f>SUMIF([1]PMA!$H$2:$H$21, A13,[1]PMA!$Y$2:$Y$21)</f>
        <v>0</v>
      </c>
    </row>
    <row r="14" spans="1:3" x14ac:dyDescent="0.35">
      <c r="A14" s="1" t="s">
        <v>21</v>
      </c>
      <c r="B14" s="1">
        <f>SUMIF([1]PMA!$H$2:$H$21, A14,[1]PMA!$X$2:$X$21)</f>
        <v>0</v>
      </c>
      <c r="C14" s="1">
        <f>SUMIF([1]PMA!$H$2:$H$21, A14,[1]PMA!$Y$2:$Y$21)</f>
        <v>0</v>
      </c>
    </row>
    <row r="15" spans="1:3" x14ac:dyDescent="0.35">
      <c r="A15" s="82" t="s">
        <v>216</v>
      </c>
      <c r="B15" s="82">
        <f>SUM(B4:B14)</f>
        <v>175</v>
      </c>
      <c r="C15" s="82">
        <f>SUM(C4:C14)</f>
        <v>60</v>
      </c>
    </row>
    <row r="17" spans="1:5" x14ac:dyDescent="0.35">
      <c r="E17">
        <f>B15+C15</f>
        <v>235</v>
      </c>
    </row>
    <row r="18" spans="1:5" x14ac:dyDescent="0.35">
      <c r="A18" s="9" t="s">
        <v>142</v>
      </c>
      <c r="B18" s="9" t="s">
        <v>141</v>
      </c>
    </row>
    <row r="19" spans="1:5" x14ac:dyDescent="0.35">
      <c r="A19" s="1" t="s">
        <v>15</v>
      </c>
      <c r="B19" s="1">
        <f>SUMIF([1]PMA!$H$2:$H$21, A19,[1]PMA!$Y$2:$Y$21)</f>
        <v>0</v>
      </c>
    </row>
    <row r="20" spans="1:5" x14ac:dyDescent="0.35">
      <c r="A20" s="1" t="s">
        <v>16</v>
      </c>
      <c r="B20" s="1">
        <f>SUMIF([1]PMA!$H$2:$H$21, A20,[1]PMA!$Y$2:$Y$21)</f>
        <v>6</v>
      </c>
    </row>
    <row r="21" spans="1:5" x14ac:dyDescent="0.35">
      <c r="A21" s="1" t="s">
        <v>22</v>
      </c>
      <c r="B21" s="1">
        <f>SUMIF([1]PMA!$H$2:$H$21, A21,[1]PMA!$Y$2:$Y$21)</f>
        <v>54</v>
      </c>
    </row>
    <row r="22" spans="1:5" x14ac:dyDescent="0.35">
      <c r="A22" s="1" t="s">
        <v>20</v>
      </c>
      <c r="B22" s="1">
        <f>SUMIF([1]PMA!$H$2:$H$21, A22,[1]PMA!$Y$2:$Y$21)</f>
        <v>0</v>
      </c>
    </row>
    <row r="23" spans="1:5" x14ac:dyDescent="0.35">
      <c r="A23" s="1" t="s">
        <v>23</v>
      </c>
      <c r="B23" s="1">
        <f>SUMIF([1]PMA!$H$2:$H$21, A23,[1]PMA!$Y$2:$Y$21)</f>
        <v>0</v>
      </c>
    </row>
    <row r="24" spans="1:5" x14ac:dyDescent="0.35">
      <c r="A24" s="1" t="s">
        <v>19</v>
      </c>
      <c r="B24" s="1">
        <f>SUMIF([1]PMA!$H$2:$H$21, A24,[1]PMA!$Y$2:$Y$21)</f>
        <v>0</v>
      </c>
    </row>
    <row r="25" spans="1:5" x14ac:dyDescent="0.35">
      <c r="A25" s="1" t="s">
        <v>218</v>
      </c>
      <c r="B25" s="1">
        <f>SUMIF([1]PMA!$H$2:$H$21, A25,[1]PMA!$Y$2:$Y$21)</f>
        <v>0</v>
      </c>
    </row>
    <row r="26" spans="1:5" x14ac:dyDescent="0.35">
      <c r="A26" s="1" t="s">
        <v>18</v>
      </c>
      <c r="B26" s="1">
        <f>SUMIF([1]PMA!$H$2:$H$21, A26,[1]PMA!$Y$2:$Y$21)</f>
        <v>0</v>
      </c>
    </row>
    <row r="27" spans="1:5" x14ac:dyDescent="0.35">
      <c r="A27" s="1" t="s">
        <v>219</v>
      </c>
      <c r="B27" s="1">
        <f>SUMIF([1]PMA!$H$2:$H$21, A27,[1]PMA!$Y$2:$Y$21)</f>
        <v>0</v>
      </c>
    </row>
    <row r="28" spans="1:5" x14ac:dyDescent="0.35">
      <c r="A28" s="1" t="s">
        <v>220</v>
      </c>
      <c r="B28" s="1">
        <f>SUMIF([1]PMA!$H$2:$H$21, A28,[1]PMA!$Y$2:$Y$21)</f>
        <v>0</v>
      </c>
    </row>
    <row r="29" spans="1:5" x14ac:dyDescent="0.35">
      <c r="A29" s="1" t="s">
        <v>21</v>
      </c>
      <c r="B29" s="1">
        <f>SUMIF([1]PMA!$H$2:$H$21, A29,[1]PMA!$Y$2:$Y$21)</f>
        <v>0</v>
      </c>
    </row>
  </sheetData>
  <sortState xmlns:xlrd2="http://schemas.microsoft.com/office/spreadsheetml/2017/richdata2" ref="A4:A27">
    <sortCondition ref="A4"/>
  </sortState>
  <mergeCells count="1">
    <mergeCell ref="A1:C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CCAD-A9F4-474F-AE16-B583B906FA85}">
  <sheetPr>
    <tabColor rgb="FF7030A0"/>
  </sheetPr>
  <dimension ref="A3:H192"/>
  <sheetViews>
    <sheetView zoomScale="43" zoomScaleNormal="26" workbookViewId="0">
      <selection activeCell="R26" sqref="R26"/>
    </sheetView>
  </sheetViews>
  <sheetFormatPr defaultRowHeight="14.5" x14ac:dyDescent="0.35"/>
  <cols>
    <col min="1" max="1" width="36.453125" customWidth="1"/>
    <col min="2" max="2" width="10.26953125" customWidth="1"/>
    <col min="4" max="4" width="41.90625" customWidth="1"/>
    <col min="5" max="5" width="10.26953125" bestFit="1" customWidth="1"/>
    <col min="6" max="6" width="36.54296875" customWidth="1"/>
  </cols>
  <sheetData>
    <row r="3" spans="1:5" x14ac:dyDescent="0.35">
      <c r="A3" s="7" t="s">
        <v>24</v>
      </c>
      <c r="B3" s="7" t="s">
        <v>140</v>
      </c>
      <c r="D3" s="7" t="s">
        <v>24</v>
      </c>
      <c r="E3" s="7" t="s">
        <v>141</v>
      </c>
    </row>
    <row r="4" spans="1:5" x14ac:dyDescent="0.35">
      <c r="A4" s="1" t="s">
        <v>31</v>
      </c>
      <c r="B4" s="1">
        <f>SUMIF([1]PMDN!$H$2:$H$436, A4,[1]PMDN!$X$2:$X$436)</f>
        <v>0</v>
      </c>
      <c r="D4" s="1" t="s">
        <v>31</v>
      </c>
      <c r="E4" s="1">
        <f>SUMIF([1]PMDN!$H$2:$H$436, A4,[1]PMDN!$Y$2:$Y$436)</f>
        <v>0</v>
      </c>
    </row>
    <row r="5" spans="1:5" x14ac:dyDescent="0.35">
      <c r="A5" s="1" t="s">
        <v>33</v>
      </c>
      <c r="B5" s="1">
        <f>SUMIF([1]PMDN!$H$2:$H$436, A5,[1]PMDN!$X$2:$X$436)</f>
        <v>0</v>
      </c>
      <c r="D5" s="1" t="s">
        <v>33</v>
      </c>
      <c r="E5" s="1">
        <f>SUMIF([1]PMDN!$H$2:$H$436, A5,[1]PMDN!$Y$2:$Y$436)</f>
        <v>0</v>
      </c>
    </row>
    <row r="6" spans="1:5" x14ac:dyDescent="0.35">
      <c r="A6" s="1" t="s">
        <v>222</v>
      </c>
      <c r="B6" s="1">
        <f>SUMIF([1]PMDN!$H$2:$H$436, A6,[1]PMDN!$X$2:$X$436)</f>
        <v>0</v>
      </c>
      <c r="D6" s="1" t="s">
        <v>222</v>
      </c>
      <c r="E6" s="1">
        <f>SUMIF([1]PMDN!$H$2:$H$436, A6,[1]PMDN!$Y$2:$Y$436)</f>
        <v>0</v>
      </c>
    </row>
    <row r="7" spans="1:5" x14ac:dyDescent="0.35">
      <c r="A7" s="1" t="s">
        <v>49</v>
      </c>
      <c r="B7" s="1">
        <f>SUMIF([1]PMDN!$H$2:$H$436, A7,[1]PMDN!$X$2:$X$436)</f>
        <v>0</v>
      </c>
      <c r="D7" s="1" t="s">
        <v>49</v>
      </c>
      <c r="E7" s="1">
        <f>SUMIF([1]PMDN!$H$2:$H$436, A7,[1]PMDN!$Y$2:$Y$436)</f>
        <v>0</v>
      </c>
    </row>
    <row r="8" spans="1:5" x14ac:dyDescent="0.35">
      <c r="A8" s="1" t="s">
        <v>50</v>
      </c>
      <c r="B8" s="1">
        <f>SUMIF([1]PMDN!$H$2:$H$436, A8,[1]PMDN!$X$2:$X$436)</f>
        <v>0</v>
      </c>
      <c r="D8" s="1" t="s">
        <v>50</v>
      </c>
      <c r="E8" s="1">
        <f>SUMIF([1]PMDN!$H$2:$H$436, A8,[1]PMDN!$Y$2:$Y$436)</f>
        <v>0</v>
      </c>
    </row>
    <row r="9" spans="1:5" x14ac:dyDescent="0.35">
      <c r="A9" s="1" t="s">
        <v>51</v>
      </c>
      <c r="B9" s="1">
        <f>SUMIF([1]PMDN!$H$2:$H$436, A9,[1]PMDN!$X$2:$X$436)</f>
        <v>0</v>
      </c>
      <c r="D9" s="1" t="s">
        <v>51</v>
      </c>
      <c r="E9" s="1">
        <f>SUMIF([1]PMDN!$H$2:$H$436, A9,[1]PMDN!$Y$2:$Y$436)</f>
        <v>0</v>
      </c>
    </row>
    <row r="10" spans="1:5" x14ac:dyDescent="0.35">
      <c r="A10" s="1" t="s">
        <v>53</v>
      </c>
      <c r="B10" s="1">
        <f>SUMIF([1]PMDN!$H$2:$H$436, A10,[1]PMDN!$X$2:$X$436)</f>
        <v>4</v>
      </c>
      <c r="D10" s="1" t="s">
        <v>53</v>
      </c>
      <c r="E10" s="1">
        <f>SUMIF([1]PMDN!$H$2:$H$436, A10,[1]PMDN!$Y$2:$Y$436)</f>
        <v>0</v>
      </c>
    </row>
    <row r="11" spans="1:5" x14ac:dyDescent="0.35">
      <c r="A11" s="1" t="s">
        <v>58</v>
      </c>
      <c r="B11" s="1">
        <f>SUMIF([1]PMDN!$H$2:$H$436, A11,[1]PMDN!$X$2:$X$436)</f>
        <v>0</v>
      </c>
      <c r="D11" s="1" t="s">
        <v>58</v>
      </c>
      <c r="E11" s="1">
        <f>SUMIF([1]PMDN!$H$2:$H$436, A11,[1]PMDN!$Y$2:$Y$436)</f>
        <v>0</v>
      </c>
    </row>
    <row r="12" spans="1:5" x14ac:dyDescent="0.35">
      <c r="A12" s="1" t="s">
        <v>223</v>
      </c>
      <c r="B12" s="1">
        <f>SUMIF([1]PMDN!$H$2:$H$436, A12,[1]PMDN!$X$2:$X$436)</f>
        <v>0</v>
      </c>
      <c r="D12" s="1" t="s">
        <v>223</v>
      </c>
      <c r="E12" s="1">
        <f>SUMIF([1]PMDN!$H$2:$H$436, A12,[1]PMDN!$Y$2:$Y$436)</f>
        <v>0</v>
      </c>
    </row>
    <row r="13" spans="1:5" x14ac:dyDescent="0.35">
      <c r="A13" s="1" t="s">
        <v>63</v>
      </c>
      <c r="B13" s="1">
        <f>SUMIF([1]PMDN!$H$2:$H$436, A13,[1]PMDN!$X$2:$X$436)</f>
        <v>0</v>
      </c>
      <c r="D13" s="1" t="s">
        <v>63</v>
      </c>
      <c r="E13" s="1">
        <f>SUMIF([1]PMDN!$H$2:$H$436, A13,[1]PMDN!$Y$2:$Y$436)</f>
        <v>0</v>
      </c>
    </row>
    <row r="14" spans="1:5" x14ac:dyDescent="0.35">
      <c r="A14" s="1" t="s">
        <v>224</v>
      </c>
      <c r="B14" s="1">
        <f>SUMIF([1]PMDN!$H$2:$H$436, A14,[1]PMDN!$X$2:$X$436)</f>
        <v>0</v>
      </c>
      <c r="D14" s="1" t="s">
        <v>224</v>
      </c>
      <c r="E14" s="1">
        <f>SUMIF([1]PMDN!$H$2:$H$436, A14,[1]PMDN!$Y$2:$Y$436)</f>
        <v>0</v>
      </c>
    </row>
    <row r="15" spans="1:5" x14ac:dyDescent="0.35">
      <c r="A15" s="1" t="s">
        <v>90</v>
      </c>
      <c r="B15" s="1">
        <f>SUMIF([1]PMDN!$H$2:$H$436, A15,[1]PMDN!$X$2:$X$436)</f>
        <v>0</v>
      </c>
      <c r="D15" s="1" t="s">
        <v>90</v>
      </c>
      <c r="E15" s="1">
        <f>SUMIF([1]PMDN!$H$2:$H$436, A15,[1]PMDN!$Y$2:$Y$436)</f>
        <v>0</v>
      </c>
    </row>
    <row r="16" spans="1:5" x14ac:dyDescent="0.35">
      <c r="A16" s="1" t="s">
        <v>101</v>
      </c>
      <c r="B16" s="1">
        <f>SUMIF([1]PMDN!$H$2:$H$436, A16,[1]PMDN!$X$2:$X$436)</f>
        <v>0</v>
      </c>
      <c r="D16" s="1" t="s">
        <v>101</v>
      </c>
      <c r="E16" s="1">
        <f>SUMIF([1]PMDN!$H$2:$H$436, A16,[1]PMDN!$Y$2:$Y$436)</f>
        <v>0</v>
      </c>
    </row>
    <row r="17" spans="1:8" x14ac:dyDescent="0.35">
      <c r="A17" s="1" t="s">
        <v>108</v>
      </c>
      <c r="B17" s="1">
        <f>SUMIF([1]PMDN!$H$2:$H$436, A17,[1]PMDN!$X$2:$X$436)</f>
        <v>0</v>
      </c>
      <c r="D17" s="1" t="s">
        <v>108</v>
      </c>
      <c r="E17" s="1">
        <f>SUMIF([1]PMDN!$H$2:$H$436, A17,[1]PMDN!$Y$2:$Y$436)</f>
        <v>0</v>
      </c>
    </row>
    <row r="18" spans="1:8" x14ac:dyDescent="0.35">
      <c r="A18" s="1" t="s">
        <v>109</v>
      </c>
      <c r="B18" s="1">
        <f>SUMIF([1]PMDN!$H$2:$H$436, A18,[1]PMDN!$X$2:$X$436)</f>
        <v>5</v>
      </c>
      <c r="D18" s="1" t="s">
        <v>109</v>
      </c>
      <c r="E18" s="1">
        <f>SUMIF([1]PMDN!$H$2:$H$436, A18,[1]PMDN!$Y$2:$Y$436)</f>
        <v>0</v>
      </c>
    </row>
    <row r="19" spans="1:8" x14ac:dyDescent="0.35">
      <c r="A19" s="1" t="s">
        <v>121</v>
      </c>
      <c r="B19" s="1">
        <f>SUMIF([1]PMDN!$H$2:$H$436, A19,[1]PMDN!$X$2:$X$436)</f>
        <v>38</v>
      </c>
      <c r="D19" s="1" t="s">
        <v>121</v>
      </c>
      <c r="E19" s="1">
        <f>SUMIF([1]PMDN!$H$2:$H$436, A19,[1]PMDN!$Y$2:$Y$436)</f>
        <v>0</v>
      </c>
    </row>
    <row r="20" spans="1:8" x14ac:dyDescent="0.35">
      <c r="A20" s="1" t="s">
        <v>122</v>
      </c>
      <c r="B20" s="1">
        <f>SUMIF([1]PMDN!$H$2:$H$436, A20,[1]PMDN!$X$2:$X$436)</f>
        <v>0</v>
      </c>
      <c r="D20" s="1" t="s">
        <v>122</v>
      </c>
      <c r="E20" s="1">
        <f>SUMIF([1]PMDN!$H$2:$H$436, A20,[1]PMDN!$Y$2:$Y$436)</f>
        <v>0</v>
      </c>
    </row>
    <row r="21" spans="1:8" x14ac:dyDescent="0.35">
      <c r="A21" s="1" t="s">
        <v>125</v>
      </c>
      <c r="B21" s="1">
        <f>SUMIF([1]PMDN!$H$2:$H$436, A21,[1]PMDN!$X$2:$X$436)</f>
        <v>0</v>
      </c>
      <c r="D21" s="1" t="s">
        <v>125</v>
      </c>
      <c r="E21" s="1">
        <f>SUMIF([1]PMDN!$H$2:$H$436, A21,[1]PMDN!$Y$2:$Y$436)</f>
        <v>0</v>
      </c>
      <c r="G21" t="s">
        <v>141</v>
      </c>
      <c r="H21">
        <f>SUM(E4:E128)</f>
        <v>0</v>
      </c>
    </row>
    <row r="22" spans="1:8" x14ac:dyDescent="0.35">
      <c r="A22" s="1" t="s">
        <v>130</v>
      </c>
      <c r="B22" s="1">
        <f>SUMIF([1]PMDN!$H$2:$H$436, A22,[1]PMDN!$X$2:$X$436)</f>
        <v>0</v>
      </c>
      <c r="D22" s="1" t="s">
        <v>130</v>
      </c>
      <c r="E22" s="1">
        <f>SUMIF([1]PMDN!$H$2:$H$436, A22,[1]PMDN!$Y$2:$Y$436)</f>
        <v>0</v>
      </c>
      <c r="G22" t="s">
        <v>140</v>
      </c>
      <c r="H22">
        <f>SUM(B4:B128)</f>
        <v>910</v>
      </c>
    </row>
    <row r="23" spans="1:8" x14ac:dyDescent="0.35">
      <c r="A23" s="1" t="s">
        <v>225</v>
      </c>
      <c r="B23" s="1">
        <f>SUMIF([1]PMDN!$H$2:$H$436, A23,[1]PMDN!$X$2:$X$436)</f>
        <v>0</v>
      </c>
      <c r="D23" s="1" t="s">
        <v>225</v>
      </c>
      <c r="E23" s="1">
        <f>SUMIF([1]PMDN!$H$2:$H$436, A23,[1]PMDN!$Y$2:$Y$436)</f>
        <v>0</v>
      </c>
    </row>
    <row r="24" spans="1:8" x14ac:dyDescent="0.35">
      <c r="A24" s="1" t="s">
        <v>27</v>
      </c>
      <c r="B24" s="1">
        <f>SUMIF([1]PMDN!$H$2:$H$436, A24,[1]PMDN!$X$2:$X$436)</f>
        <v>0</v>
      </c>
      <c r="D24" s="1" t="s">
        <v>27</v>
      </c>
      <c r="E24" s="1">
        <f>SUMIF([1]PMDN!$H$2:$H$436, A24,[1]PMDN!$Y$2:$Y$436)</f>
        <v>0</v>
      </c>
    </row>
    <row r="25" spans="1:8" x14ac:dyDescent="0.35">
      <c r="A25" s="1" t="s">
        <v>35</v>
      </c>
      <c r="B25" s="1">
        <f>SUMIF([1]PMDN!$H$2:$H$436, A25,[1]PMDN!$X$2:$X$436)</f>
        <v>0</v>
      </c>
      <c r="D25" s="1" t="s">
        <v>35</v>
      </c>
      <c r="E25" s="1">
        <f>SUMIF([1]PMDN!$H$2:$H$436, A25,[1]PMDN!$Y$2:$Y$436)</f>
        <v>0</v>
      </c>
    </row>
    <row r="26" spans="1:8" x14ac:dyDescent="0.35">
      <c r="A26" s="1" t="s">
        <v>226</v>
      </c>
      <c r="B26" s="1">
        <f>SUMIF([1]PMDN!$H$2:$H$436, A26,[1]PMDN!$X$2:$X$436)</f>
        <v>1</v>
      </c>
      <c r="D26" s="1" t="s">
        <v>226</v>
      </c>
      <c r="E26" s="1">
        <f>SUMIF([1]PMDN!$H$2:$H$436, A26,[1]PMDN!$Y$2:$Y$436)</f>
        <v>0</v>
      </c>
    </row>
    <row r="27" spans="1:8" x14ac:dyDescent="0.35">
      <c r="A27" s="1" t="s">
        <v>37</v>
      </c>
      <c r="B27" s="1">
        <f>SUMIF([1]PMDN!$H$2:$H$436, A27,[1]PMDN!$X$2:$X$436)</f>
        <v>0</v>
      </c>
      <c r="D27" s="1" t="s">
        <v>37</v>
      </c>
      <c r="E27" s="1">
        <f>SUMIF([1]PMDN!$H$2:$H$436, A27,[1]PMDN!$Y$2:$Y$436)</f>
        <v>0</v>
      </c>
    </row>
    <row r="28" spans="1:8" x14ac:dyDescent="0.35">
      <c r="A28" s="1" t="s">
        <v>38</v>
      </c>
      <c r="B28" s="1">
        <f>SUMIF([1]PMDN!$H$2:$H$436, A28,[1]PMDN!$X$2:$X$436)</f>
        <v>0</v>
      </c>
      <c r="D28" s="1" t="s">
        <v>38</v>
      </c>
      <c r="E28" s="1">
        <f>SUMIF([1]PMDN!$H$2:$H$436, A28,[1]PMDN!$Y$2:$Y$436)</f>
        <v>0</v>
      </c>
    </row>
    <row r="29" spans="1:8" x14ac:dyDescent="0.35">
      <c r="A29" s="1" t="s">
        <v>40</v>
      </c>
      <c r="B29" s="1">
        <f>SUMIF([1]PMDN!$H$2:$H$436, A29,[1]PMDN!$X$2:$X$436)</f>
        <v>0</v>
      </c>
      <c r="D29" s="1" t="s">
        <v>40</v>
      </c>
      <c r="E29" s="1">
        <f>SUMIF([1]PMDN!$H$2:$H$436, A29,[1]PMDN!$Y$2:$Y$436)</f>
        <v>0</v>
      </c>
    </row>
    <row r="30" spans="1:8" x14ac:dyDescent="0.35">
      <c r="A30" s="1" t="s">
        <v>42</v>
      </c>
      <c r="B30" s="1">
        <f>SUMIF([1]PMDN!$H$2:$H$436, A30,[1]PMDN!$X$2:$X$436)</f>
        <v>0</v>
      </c>
      <c r="D30" s="1" t="s">
        <v>42</v>
      </c>
      <c r="E30" s="1">
        <f>SUMIF([1]PMDN!$H$2:$H$436, A30,[1]PMDN!$Y$2:$Y$436)</f>
        <v>0</v>
      </c>
    </row>
    <row r="31" spans="1:8" x14ac:dyDescent="0.35">
      <c r="A31" s="1" t="s">
        <v>43</v>
      </c>
      <c r="B31" s="1">
        <f>SUMIF([1]PMDN!$H$2:$H$436, A31,[1]PMDN!$X$2:$X$436)</f>
        <v>0</v>
      </c>
      <c r="D31" s="1" t="s">
        <v>43</v>
      </c>
      <c r="E31" s="1">
        <f>SUMIF([1]PMDN!$H$2:$H$436, A31,[1]PMDN!$Y$2:$Y$436)</f>
        <v>0</v>
      </c>
    </row>
    <row r="32" spans="1:8" x14ac:dyDescent="0.35">
      <c r="A32" s="1" t="s">
        <v>44</v>
      </c>
      <c r="B32" s="1">
        <f>SUMIF([1]PMDN!$H$2:$H$436, A32,[1]PMDN!$X$2:$X$436)</f>
        <v>0</v>
      </c>
      <c r="D32" s="1" t="s">
        <v>44</v>
      </c>
      <c r="E32" s="1">
        <f>SUMIF([1]PMDN!$H$2:$H$436, A32,[1]PMDN!$Y$2:$Y$436)</f>
        <v>0</v>
      </c>
    </row>
    <row r="33" spans="1:5" x14ac:dyDescent="0.35">
      <c r="A33" s="1" t="s">
        <v>45</v>
      </c>
      <c r="B33" s="1">
        <f>SUMIF([1]PMDN!$H$2:$H$436, A33,[1]PMDN!$X$2:$X$436)</f>
        <v>0</v>
      </c>
      <c r="D33" s="1" t="s">
        <v>45</v>
      </c>
      <c r="E33" s="1">
        <f>SUMIF([1]PMDN!$H$2:$H$436, A33,[1]PMDN!$Y$2:$Y$436)</f>
        <v>0</v>
      </c>
    </row>
    <row r="34" spans="1:5" x14ac:dyDescent="0.35">
      <c r="A34" s="1" t="s">
        <v>46</v>
      </c>
      <c r="B34" s="1">
        <f>SUMIF([1]PMDN!$H$2:$H$436, A34,[1]PMDN!$X$2:$X$436)</f>
        <v>0</v>
      </c>
      <c r="D34" s="1" t="s">
        <v>46</v>
      </c>
      <c r="E34" s="1">
        <f>SUMIF([1]PMDN!$H$2:$H$436, A34,[1]PMDN!$Y$2:$Y$436)</f>
        <v>0</v>
      </c>
    </row>
    <row r="35" spans="1:5" x14ac:dyDescent="0.35">
      <c r="A35" s="1" t="s">
        <v>48</v>
      </c>
      <c r="B35" s="1">
        <f>SUMIF([1]PMDN!$H$2:$H$436, A35,[1]PMDN!$X$2:$X$436)</f>
        <v>0</v>
      </c>
      <c r="D35" s="1" t="s">
        <v>48</v>
      </c>
      <c r="E35" s="1">
        <f>SUMIF([1]PMDN!$H$2:$H$436, A35,[1]PMDN!$Y$2:$Y$436)</f>
        <v>0</v>
      </c>
    </row>
    <row r="36" spans="1:5" x14ac:dyDescent="0.35">
      <c r="A36" s="1" t="s">
        <v>52</v>
      </c>
      <c r="B36" s="1">
        <f>SUMIF([1]PMDN!$H$2:$H$436, A36,[1]PMDN!$X$2:$X$436)</f>
        <v>0</v>
      </c>
      <c r="D36" s="1" t="s">
        <v>52</v>
      </c>
      <c r="E36" s="1">
        <f>SUMIF([1]PMDN!$H$2:$H$436, A36,[1]PMDN!$Y$2:$Y$436)</f>
        <v>0</v>
      </c>
    </row>
    <row r="37" spans="1:5" x14ac:dyDescent="0.35">
      <c r="A37" s="1" t="s">
        <v>59</v>
      </c>
      <c r="B37" s="1">
        <f>SUMIF([1]PMDN!$H$2:$H$436, A37,[1]PMDN!$X$2:$X$436)</f>
        <v>0</v>
      </c>
      <c r="D37" s="1" t="s">
        <v>59</v>
      </c>
      <c r="E37" s="1">
        <f>SUMIF([1]PMDN!$H$2:$H$436, A37,[1]PMDN!$Y$2:$Y$436)</f>
        <v>0</v>
      </c>
    </row>
    <row r="38" spans="1:5" x14ac:dyDescent="0.35">
      <c r="A38" s="1" t="s">
        <v>67</v>
      </c>
      <c r="B38" s="1">
        <f>SUMIF([1]PMDN!$H$2:$H$436, A38,[1]PMDN!$X$2:$X$436)</f>
        <v>0</v>
      </c>
      <c r="D38" s="1" t="s">
        <v>67</v>
      </c>
      <c r="E38" s="1">
        <f>SUMIF([1]PMDN!$H$2:$H$436, A38,[1]PMDN!$Y$2:$Y$436)</f>
        <v>0</v>
      </c>
    </row>
    <row r="39" spans="1:5" x14ac:dyDescent="0.35">
      <c r="A39" s="1" t="s">
        <v>69</v>
      </c>
      <c r="B39" s="1">
        <f>SUMIF([1]PMDN!$H$2:$H$436, A39,[1]PMDN!$X$2:$X$436)</f>
        <v>0</v>
      </c>
      <c r="D39" s="1" t="s">
        <v>69</v>
      </c>
      <c r="E39" s="1">
        <f>SUMIF([1]PMDN!$H$2:$H$436, A39,[1]PMDN!$Y$2:$Y$436)</f>
        <v>0</v>
      </c>
    </row>
    <row r="40" spans="1:5" x14ac:dyDescent="0.35">
      <c r="A40" s="1" t="s">
        <v>70</v>
      </c>
      <c r="B40" s="1">
        <f>SUMIF([1]PMDN!$H$2:$H$436, A40,[1]PMDN!$X$2:$X$436)</f>
        <v>0</v>
      </c>
      <c r="D40" s="1" t="s">
        <v>70</v>
      </c>
      <c r="E40" s="1">
        <f>SUMIF([1]PMDN!$H$2:$H$436, A40,[1]PMDN!$Y$2:$Y$436)</f>
        <v>0</v>
      </c>
    </row>
    <row r="41" spans="1:5" x14ac:dyDescent="0.35">
      <c r="A41" s="1" t="s">
        <v>75</v>
      </c>
      <c r="B41" s="1">
        <f>SUMIF([1]PMDN!$H$2:$H$436, A41,[1]PMDN!$X$2:$X$436)</f>
        <v>0</v>
      </c>
      <c r="D41" s="1" t="s">
        <v>75</v>
      </c>
      <c r="E41" s="1">
        <f>SUMIF([1]PMDN!$H$2:$H$436, A41,[1]PMDN!$Y$2:$Y$436)</f>
        <v>0</v>
      </c>
    </row>
    <row r="42" spans="1:5" x14ac:dyDescent="0.35">
      <c r="A42" s="1" t="s">
        <v>77</v>
      </c>
      <c r="B42" s="1">
        <f>SUMIF([1]PMDN!$H$2:$H$436, A42,[1]PMDN!$X$2:$X$436)</f>
        <v>0</v>
      </c>
      <c r="D42" s="1" t="s">
        <v>77</v>
      </c>
      <c r="E42" s="1">
        <f>SUMIF([1]PMDN!$H$2:$H$436, A42,[1]PMDN!$Y$2:$Y$436)</f>
        <v>0</v>
      </c>
    </row>
    <row r="43" spans="1:5" x14ac:dyDescent="0.35">
      <c r="A43" s="1" t="s">
        <v>78</v>
      </c>
      <c r="B43" s="1">
        <f>SUMIF([1]PMDN!$H$2:$H$436, A43,[1]PMDN!$X$2:$X$436)</f>
        <v>0</v>
      </c>
      <c r="D43" s="1" t="s">
        <v>78</v>
      </c>
      <c r="E43" s="1">
        <f>SUMIF([1]PMDN!$H$2:$H$436, A43,[1]PMDN!$Y$2:$Y$436)</f>
        <v>0</v>
      </c>
    </row>
    <row r="44" spans="1:5" x14ac:dyDescent="0.35">
      <c r="A44" s="1" t="s">
        <v>227</v>
      </c>
      <c r="B44" s="1">
        <f>SUMIF([1]PMDN!$H$2:$H$436, A44,[1]PMDN!$X$2:$X$436)</f>
        <v>0</v>
      </c>
      <c r="D44" s="1" t="s">
        <v>227</v>
      </c>
      <c r="E44" s="1">
        <f>SUMIF([1]PMDN!$H$2:$H$436, A44,[1]PMDN!$Y$2:$Y$436)</f>
        <v>0</v>
      </c>
    </row>
    <row r="45" spans="1:5" x14ac:dyDescent="0.35">
      <c r="A45" s="1" t="s">
        <v>84</v>
      </c>
      <c r="B45" s="1">
        <f>SUMIF([1]PMDN!$H$2:$H$436, A45,[1]PMDN!$X$2:$X$436)</f>
        <v>0</v>
      </c>
      <c r="D45" s="1" t="s">
        <v>84</v>
      </c>
      <c r="E45" s="1">
        <f>SUMIF([1]PMDN!$H$2:$H$436, A45,[1]PMDN!$Y$2:$Y$436)</f>
        <v>0</v>
      </c>
    </row>
    <row r="46" spans="1:5" x14ac:dyDescent="0.35">
      <c r="A46" s="1" t="s">
        <v>85</v>
      </c>
      <c r="B46" s="1">
        <f>SUMIF([1]PMDN!$H$2:$H$436, A46,[1]PMDN!$X$2:$X$436)</f>
        <v>15</v>
      </c>
      <c r="D46" s="1" t="s">
        <v>85</v>
      </c>
      <c r="E46" s="1">
        <f>SUMIF([1]PMDN!$H$2:$H$436, A46,[1]PMDN!$Y$2:$Y$436)</f>
        <v>0</v>
      </c>
    </row>
    <row r="47" spans="1:5" x14ac:dyDescent="0.35">
      <c r="A47" s="1" t="s">
        <v>17</v>
      </c>
      <c r="B47" s="1">
        <f>SUMIF([1]PMDN!$H$2:$H$436, A47,[1]PMDN!$X$2:$X$436)</f>
        <v>125</v>
      </c>
      <c r="D47" s="1" t="s">
        <v>17</v>
      </c>
      <c r="E47" s="1">
        <f>SUMIF([1]PMDN!$H$2:$H$436, A47,[1]PMDN!$Y$2:$Y$436)</f>
        <v>0</v>
      </c>
    </row>
    <row r="48" spans="1:5" x14ac:dyDescent="0.35">
      <c r="A48" s="1" t="s">
        <v>86</v>
      </c>
      <c r="B48" s="1">
        <f>SUMIF([1]PMDN!$H$2:$H$436, A48,[1]PMDN!$X$2:$X$436)</f>
        <v>0</v>
      </c>
      <c r="D48" s="1" t="s">
        <v>86</v>
      </c>
      <c r="E48" s="1">
        <f>SUMIF([1]PMDN!$H$2:$H$436, A48,[1]PMDN!$Y$2:$Y$436)</f>
        <v>0</v>
      </c>
    </row>
    <row r="49" spans="1:5" x14ac:dyDescent="0.35">
      <c r="A49" s="1" t="s">
        <v>88</v>
      </c>
      <c r="B49" s="1">
        <f>SUMIF([1]PMDN!$H$2:$H$436, A49,[1]PMDN!$X$2:$X$436)</f>
        <v>0</v>
      </c>
      <c r="D49" s="1" t="s">
        <v>88</v>
      </c>
      <c r="E49" s="1">
        <f>SUMIF([1]PMDN!$H$2:$H$436, A49,[1]PMDN!$Y$2:$Y$436)</f>
        <v>0</v>
      </c>
    </row>
    <row r="50" spans="1:5" x14ac:dyDescent="0.35">
      <c r="A50" s="1" t="s">
        <v>89</v>
      </c>
      <c r="B50" s="1">
        <f>SUMIF([1]PMDN!$H$2:$H$436, A50,[1]PMDN!$X$2:$X$436)</f>
        <v>0</v>
      </c>
      <c r="D50" s="1" t="s">
        <v>89</v>
      </c>
      <c r="E50" s="1">
        <f>SUMIF([1]PMDN!$H$2:$H$436, A50,[1]PMDN!$Y$2:$Y$436)</f>
        <v>0</v>
      </c>
    </row>
    <row r="51" spans="1:5" x14ac:dyDescent="0.35">
      <c r="A51" s="1" t="s">
        <v>91</v>
      </c>
      <c r="B51" s="1">
        <f>SUMIF([1]PMDN!$H$2:$H$436, A51,[1]PMDN!$X$2:$X$436)</f>
        <v>0</v>
      </c>
      <c r="D51" s="1" t="s">
        <v>91</v>
      </c>
      <c r="E51" s="1">
        <f>SUMIF([1]PMDN!$H$2:$H$436, A51,[1]PMDN!$Y$2:$Y$436)</f>
        <v>0</v>
      </c>
    </row>
    <row r="52" spans="1:5" x14ac:dyDescent="0.35">
      <c r="A52" s="1" t="s">
        <v>100</v>
      </c>
      <c r="B52" s="1">
        <f>SUMIF([1]PMDN!$H$2:$H$436, A52,[1]PMDN!$X$2:$X$436)</f>
        <v>44</v>
      </c>
      <c r="D52" s="1" t="s">
        <v>100</v>
      </c>
      <c r="E52" s="1">
        <f>SUMIF([1]PMDN!$H$2:$H$436, A52,[1]PMDN!$Y$2:$Y$436)</f>
        <v>0</v>
      </c>
    </row>
    <row r="53" spans="1:5" x14ac:dyDescent="0.35">
      <c r="A53" s="1" t="s">
        <v>103</v>
      </c>
      <c r="B53" s="1">
        <f>SUMIF([1]PMDN!$H$2:$H$436, A53,[1]PMDN!$X$2:$X$436)</f>
        <v>0</v>
      </c>
      <c r="D53" s="1" t="s">
        <v>103</v>
      </c>
      <c r="E53" s="1">
        <f>SUMIF([1]PMDN!$H$2:$H$436, A53,[1]PMDN!$Y$2:$Y$436)</f>
        <v>0</v>
      </c>
    </row>
    <row r="54" spans="1:5" x14ac:dyDescent="0.35">
      <c r="A54" s="1" t="s">
        <v>106</v>
      </c>
      <c r="B54" s="1">
        <f>SUMIF([1]PMDN!$H$2:$H$436, A54,[1]PMDN!$X$2:$X$436)</f>
        <v>0</v>
      </c>
      <c r="D54" s="1" t="s">
        <v>106</v>
      </c>
      <c r="E54" s="1">
        <f>SUMIF([1]PMDN!$H$2:$H$436, A54,[1]PMDN!$Y$2:$Y$436)</f>
        <v>0</v>
      </c>
    </row>
    <row r="55" spans="1:5" x14ac:dyDescent="0.35">
      <c r="A55" s="1" t="s">
        <v>228</v>
      </c>
      <c r="B55" s="1">
        <f>SUMIF([1]PMDN!$H$2:$H$436, A55,[1]PMDN!$X$2:$X$436)</f>
        <v>0</v>
      </c>
      <c r="D55" s="1" t="s">
        <v>228</v>
      </c>
      <c r="E55" s="1">
        <f>SUMIF([1]PMDN!$H$2:$H$436, A55,[1]PMDN!$Y$2:$Y$436)</f>
        <v>0</v>
      </c>
    </row>
    <row r="56" spans="1:5" x14ac:dyDescent="0.35">
      <c r="A56" s="1" t="s">
        <v>117</v>
      </c>
      <c r="B56" s="1">
        <f>SUMIF([1]PMDN!$H$2:$H$436, A56,[1]PMDN!$X$2:$X$436)</f>
        <v>0</v>
      </c>
      <c r="D56" s="1" t="s">
        <v>117</v>
      </c>
      <c r="E56" s="1">
        <f>SUMIF([1]PMDN!$H$2:$H$436, A56,[1]PMDN!$Y$2:$Y$436)</f>
        <v>0</v>
      </c>
    </row>
    <row r="57" spans="1:5" x14ac:dyDescent="0.35">
      <c r="A57" s="1" t="s">
        <v>119</v>
      </c>
      <c r="B57" s="1">
        <f>SUMIF([1]PMDN!$H$2:$H$436, A57,[1]PMDN!$X$2:$X$436)</f>
        <v>0</v>
      </c>
      <c r="D57" s="1" t="s">
        <v>119</v>
      </c>
      <c r="E57" s="1">
        <f>SUMIF([1]PMDN!$H$2:$H$436, A57,[1]PMDN!$Y$2:$Y$436)</f>
        <v>0</v>
      </c>
    </row>
    <row r="58" spans="1:5" x14ac:dyDescent="0.35">
      <c r="A58" s="1" t="s">
        <v>124</v>
      </c>
      <c r="B58" s="1">
        <f>SUMIF([1]PMDN!$H$2:$H$436, A58,[1]PMDN!$X$2:$X$436)</f>
        <v>0</v>
      </c>
      <c r="D58" s="1" t="s">
        <v>124</v>
      </c>
      <c r="E58" s="1">
        <f>SUMIF([1]PMDN!$H$2:$H$436, A58,[1]PMDN!$Y$2:$Y$436)</f>
        <v>0</v>
      </c>
    </row>
    <row r="59" spans="1:5" x14ac:dyDescent="0.35">
      <c r="A59" s="1" t="s">
        <v>126</v>
      </c>
      <c r="B59" s="1">
        <f>SUMIF([1]PMDN!$H$2:$H$436, A59,[1]PMDN!$X$2:$X$436)</f>
        <v>4</v>
      </c>
      <c r="D59" s="1" t="s">
        <v>126</v>
      </c>
      <c r="E59" s="1">
        <f>SUMIF([1]PMDN!$H$2:$H$436, A59,[1]PMDN!$Y$2:$Y$436)</f>
        <v>0</v>
      </c>
    </row>
    <row r="60" spans="1:5" x14ac:dyDescent="0.35">
      <c r="A60" s="1" t="s">
        <v>39</v>
      </c>
      <c r="B60" s="1">
        <f>SUMIF([1]PMDN!$H$2:$H$436, A60,[1]PMDN!$X$2:$X$436)</f>
        <v>0</v>
      </c>
      <c r="D60" s="1" t="s">
        <v>39</v>
      </c>
      <c r="E60" s="1">
        <f>SUMIF([1]PMDN!$H$2:$H$436, A60,[1]PMDN!$Y$2:$Y$436)</f>
        <v>0</v>
      </c>
    </row>
    <row r="61" spans="1:5" x14ac:dyDescent="0.35">
      <c r="A61" s="1" t="s">
        <v>55</v>
      </c>
      <c r="B61" s="1">
        <f>SUMIF([1]PMDN!$H$2:$H$436, A61,[1]PMDN!$X$2:$X$436)</f>
        <v>0</v>
      </c>
      <c r="D61" s="1" t="s">
        <v>55</v>
      </c>
      <c r="E61" s="1">
        <f>SUMIF([1]PMDN!$H$2:$H$436, A61,[1]PMDN!$Y$2:$Y$436)</f>
        <v>0</v>
      </c>
    </row>
    <row r="62" spans="1:5" x14ac:dyDescent="0.35">
      <c r="A62" s="1" t="s">
        <v>94</v>
      </c>
      <c r="B62" s="1">
        <f>SUMIF([1]PMDN!$H$2:$H$436, A62,[1]PMDN!$X$2:$X$436)</f>
        <v>0</v>
      </c>
      <c r="D62" s="1" t="s">
        <v>94</v>
      </c>
      <c r="E62" s="1">
        <f>SUMIF([1]PMDN!$H$2:$H$436, A62,[1]PMDN!$Y$2:$Y$436)</f>
        <v>0</v>
      </c>
    </row>
    <row r="63" spans="1:5" x14ac:dyDescent="0.35">
      <c r="A63" s="1" t="s">
        <v>83</v>
      </c>
      <c r="B63" s="1">
        <f>SUMIF([1]PMDN!$H$2:$H$436, A63,[1]PMDN!$X$2:$X$436)</f>
        <v>0</v>
      </c>
      <c r="D63" s="1" t="s">
        <v>83</v>
      </c>
      <c r="E63" s="1">
        <f>SUMIF([1]PMDN!$H$2:$H$436, A63,[1]PMDN!$Y$2:$Y$436)</f>
        <v>0</v>
      </c>
    </row>
    <row r="64" spans="1:5" x14ac:dyDescent="0.35">
      <c r="A64" s="1" t="s">
        <v>127</v>
      </c>
      <c r="B64" s="1">
        <f>SUMIF([1]PMDN!$H$2:$H$436, A64,[1]PMDN!$X$2:$X$436)</f>
        <v>0</v>
      </c>
      <c r="D64" s="1" t="s">
        <v>127</v>
      </c>
      <c r="E64" s="1">
        <f>SUMIF([1]PMDN!$H$2:$H$436, A64,[1]PMDN!$Y$2:$Y$436)</f>
        <v>0</v>
      </c>
    </row>
    <row r="65" spans="1:5" x14ac:dyDescent="0.35">
      <c r="A65" s="1" t="s">
        <v>26</v>
      </c>
      <c r="B65" s="1">
        <f>SUMIF([1]PMDN!$H$2:$H$436, A65,[1]PMDN!$X$2:$X$436)</f>
        <v>0</v>
      </c>
      <c r="D65" s="1" t="s">
        <v>26</v>
      </c>
      <c r="E65" s="1">
        <f>SUMIF([1]PMDN!$H$2:$H$436, A65,[1]PMDN!$Y$2:$Y$436)</f>
        <v>0</v>
      </c>
    </row>
    <row r="66" spans="1:5" x14ac:dyDescent="0.35">
      <c r="A66" s="1" t="s">
        <v>36</v>
      </c>
      <c r="B66" s="1">
        <f>SUMIF([1]PMDN!$H$2:$H$436, A66,[1]PMDN!$X$2:$X$436)</f>
        <v>0</v>
      </c>
      <c r="D66" s="1" t="s">
        <v>36</v>
      </c>
      <c r="E66" s="1">
        <f>SUMIF([1]PMDN!$H$2:$H$436, A66,[1]PMDN!$Y$2:$Y$436)</f>
        <v>0</v>
      </c>
    </row>
    <row r="67" spans="1:5" x14ac:dyDescent="0.35">
      <c r="A67" s="1" t="s">
        <v>80</v>
      </c>
      <c r="B67" s="1">
        <f>SUMIF([1]PMDN!$H$2:$H$436, A67,[1]PMDN!$X$2:$X$436)</f>
        <v>5</v>
      </c>
      <c r="D67" s="1" t="s">
        <v>80</v>
      </c>
      <c r="E67" s="1">
        <f>SUMIF([1]PMDN!$H$2:$H$436, A67,[1]PMDN!$Y$2:$Y$436)</f>
        <v>0</v>
      </c>
    </row>
    <row r="68" spans="1:5" x14ac:dyDescent="0.35">
      <c r="A68" s="1" t="s">
        <v>116</v>
      </c>
      <c r="B68" s="1">
        <f>SUMIF([1]PMDN!$H$2:$H$436, A68,[1]PMDN!$X$2:$X$436)</f>
        <v>0</v>
      </c>
      <c r="D68" s="1" t="s">
        <v>116</v>
      </c>
      <c r="E68" s="1">
        <f>SUMIF([1]PMDN!$H$2:$H$436, A68,[1]PMDN!$Y$2:$Y$436)</f>
        <v>0</v>
      </c>
    </row>
    <row r="69" spans="1:5" x14ac:dyDescent="0.35">
      <c r="A69" s="1" t="s">
        <v>120</v>
      </c>
      <c r="B69" s="1">
        <f>SUMIF([1]PMDN!$H$2:$H$436, A69,[1]PMDN!$X$2:$X$436)</f>
        <v>0</v>
      </c>
      <c r="D69" s="1" t="s">
        <v>120</v>
      </c>
      <c r="E69" s="1">
        <f>SUMIF([1]PMDN!$H$2:$H$436, A69,[1]PMDN!$Y$2:$Y$436)</f>
        <v>0</v>
      </c>
    </row>
    <row r="70" spans="1:5" x14ac:dyDescent="0.35">
      <c r="A70" s="1" t="s">
        <v>229</v>
      </c>
      <c r="B70" s="1">
        <f>SUMIF([1]PMDN!$H$2:$H$436, A70,[1]PMDN!$X$2:$X$436)</f>
        <v>0</v>
      </c>
      <c r="D70" s="1" t="s">
        <v>229</v>
      </c>
      <c r="E70" s="1">
        <f>SUMIF([1]PMDN!$H$2:$H$436, A70,[1]PMDN!$Y$2:$Y$436)</f>
        <v>0</v>
      </c>
    </row>
    <row r="71" spans="1:5" x14ac:dyDescent="0.35">
      <c r="A71" s="1" t="s">
        <v>230</v>
      </c>
      <c r="B71" s="1">
        <f>SUMIF([1]PMDN!$H$2:$H$436, A71,[1]PMDN!$X$2:$X$436)</f>
        <v>0</v>
      </c>
      <c r="D71" s="1" t="s">
        <v>230</v>
      </c>
      <c r="E71" s="1">
        <f>SUMIF([1]PMDN!$H$2:$H$436, A71,[1]PMDN!$Y$2:$Y$436)</f>
        <v>0</v>
      </c>
    </row>
    <row r="72" spans="1:5" x14ac:dyDescent="0.35">
      <c r="A72" s="1" t="s">
        <v>41</v>
      </c>
      <c r="B72" s="1">
        <f>SUMIF([1]PMDN!$H$2:$H$436, A72,[1]PMDN!$X$2:$X$436)</f>
        <v>0</v>
      </c>
      <c r="D72" s="1" t="s">
        <v>41</v>
      </c>
      <c r="E72" s="1">
        <f>SUMIF([1]PMDN!$H$2:$H$436, A72,[1]PMDN!$Y$2:$Y$436)</f>
        <v>0</v>
      </c>
    </row>
    <row r="73" spans="1:5" x14ac:dyDescent="0.35">
      <c r="A73" s="1" t="s">
        <v>47</v>
      </c>
      <c r="B73" s="1">
        <f>SUMIF([1]PMDN!$H$2:$H$436, A73,[1]PMDN!$X$2:$X$436)</f>
        <v>0</v>
      </c>
      <c r="D73" s="1" t="s">
        <v>47</v>
      </c>
      <c r="E73" s="1">
        <f>SUMIF([1]PMDN!$H$2:$H$436, A73,[1]PMDN!$Y$2:$Y$436)</f>
        <v>0</v>
      </c>
    </row>
    <row r="74" spans="1:5" x14ac:dyDescent="0.35">
      <c r="A74" s="1" t="s">
        <v>56</v>
      </c>
      <c r="B74" s="1">
        <f>SUMIF([1]PMDN!$H$2:$H$436, A74,[1]PMDN!$X$2:$X$436)</f>
        <v>0</v>
      </c>
      <c r="D74" s="1" t="s">
        <v>56</v>
      </c>
      <c r="E74" s="1">
        <f>SUMIF([1]PMDN!$H$2:$H$436, A74,[1]PMDN!$Y$2:$Y$436)</f>
        <v>0</v>
      </c>
    </row>
    <row r="75" spans="1:5" x14ac:dyDescent="0.35">
      <c r="A75" s="1" t="s">
        <v>57</v>
      </c>
      <c r="B75" s="1">
        <f>SUMIF([1]PMDN!$H$2:$H$436, A75,[1]PMDN!$X$2:$X$436)</f>
        <v>0</v>
      </c>
      <c r="D75" s="1" t="s">
        <v>57</v>
      </c>
      <c r="E75" s="1">
        <f>SUMIF([1]PMDN!$H$2:$H$436, A75,[1]PMDN!$Y$2:$Y$436)</f>
        <v>0</v>
      </c>
    </row>
    <row r="76" spans="1:5" x14ac:dyDescent="0.35">
      <c r="A76" s="1" t="s">
        <v>60</v>
      </c>
      <c r="B76" s="1">
        <f>SUMIF([1]PMDN!$H$2:$H$436, A76,[1]PMDN!$X$2:$X$436)</f>
        <v>0</v>
      </c>
      <c r="D76" s="1" t="s">
        <v>60</v>
      </c>
      <c r="E76" s="1">
        <f>SUMIF([1]PMDN!$H$2:$H$436, A76,[1]PMDN!$Y$2:$Y$436)</f>
        <v>0</v>
      </c>
    </row>
    <row r="77" spans="1:5" x14ac:dyDescent="0.35">
      <c r="A77" s="1" t="s">
        <v>62</v>
      </c>
      <c r="B77" s="1">
        <f>SUMIF([1]PMDN!$H$2:$H$436, A77,[1]PMDN!$X$2:$X$436)</f>
        <v>0</v>
      </c>
      <c r="D77" s="1" t="s">
        <v>62</v>
      </c>
      <c r="E77" s="1">
        <f>SUMIF([1]PMDN!$H$2:$H$436, A77,[1]PMDN!$Y$2:$Y$436)</f>
        <v>0</v>
      </c>
    </row>
    <row r="78" spans="1:5" x14ac:dyDescent="0.35">
      <c r="A78" s="1" t="s">
        <v>65</v>
      </c>
      <c r="B78" s="1">
        <f>SUMIF([1]PMDN!$H$2:$H$436, A78,[1]PMDN!$X$2:$X$436)</f>
        <v>0</v>
      </c>
      <c r="D78" s="1" t="s">
        <v>65</v>
      </c>
      <c r="E78" s="1">
        <f>SUMIF([1]PMDN!$H$2:$H$436, A78,[1]PMDN!$Y$2:$Y$436)</f>
        <v>0</v>
      </c>
    </row>
    <row r="79" spans="1:5" x14ac:dyDescent="0.35">
      <c r="A79" s="1" t="s">
        <v>66</v>
      </c>
      <c r="B79" s="1">
        <f>SUMIF([1]PMDN!$H$2:$H$436, A79,[1]PMDN!$X$2:$X$436)</f>
        <v>0</v>
      </c>
      <c r="D79" s="1" t="s">
        <v>66</v>
      </c>
      <c r="E79" s="1">
        <f>SUMIF([1]PMDN!$H$2:$H$436, A79,[1]PMDN!$Y$2:$Y$436)</f>
        <v>0</v>
      </c>
    </row>
    <row r="80" spans="1:5" x14ac:dyDescent="0.35">
      <c r="A80" s="1" t="s">
        <v>71</v>
      </c>
      <c r="B80" s="1">
        <f>SUMIF([1]PMDN!$H$2:$H$436, A80,[1]PMDN!$X$2:$X$436)</f>
        <v>0</v>
      </c>
      <c r="D80" s="1" t="s">
        <v>71</v>
      </c>
      <c r="E80" s="1">
        <f>SUMIF([1]PMDN!$H$2:$H$436, A80,[1]PMDN!$Y$2:$Y$436)</f>
        <v>0</v>
      </c>
    </row>
    <row r="81" spans="1:5" x14ac:dyDescent="0.35">
      <c r="A81" s="1" t="s">
        <v>74</v>
      </c>
      <c r="B81" s="1">
        <f>SUMIF([1]PMDN!$H$2:$H$436, A81,[1]PMDN!$X$2:$X$436)</f>
        <v>0</v>
      </c>
      <c r="D81" s="1" t="s">
        <v>74</v>
      </c>
      <c r="E81" s="1">
        <f>SUMIF([1]PMDN!$H$2:$H$436, A81,[1]PMDN!$Y$2:$Y$436)</f>
        <v>0</v>
      </c>
    </row>
    <row r="82" spans="1:5" x14ac:dyDescent="0.35">
      <c r="A82" s="1" t="s">
        <v>231</v>
      </c>
      <c r="B82" s="1">
        <f>SUMIF([1]PMDN!$H$2:$H$436, A82,[1]PMDN!$X$2:$X$436)</f>
        <v>0</v>
      </c>
      <c r="D82" s="1" t="s">
        <v>231</v>
      </c>
      <c r="E82" s="1">
        <f>SUMIF([1]PMDN!$H$2:$H$436, A82,[1]PMDN!$Y$2:$Y$436)</f>
        <v>0</v>
      </c>
    </row>
    <row r="83" spans="1:5" x14ac:dyDescent="0.35">
      <c r="A83" s="1" t="s">
        <v>92</v>
      </c>
      <c r="B83" s="1">
        <f>SUMIF([1]PMDN!$H$2:$H$436, A83,[1]PMDN!$X$2:$X$436)</f>
        <v>0</v>
      </c>
      <c r="D83" s="1" t="s">
        <v>92</v>
      </c>
      <c r="E83" s="1">
        <f>SUMIF([1]PMDN!$H$2:$H$436, A83,[1]PMDN!$Y$2:$Y$436)</f>
        <v>0</v>
      </c>
    </row>
    <row r="84" spans="1:5" x14ac:dyDescent="0.35">
      <c r="A84" s="1" t="s">
        <v>93</v>
      </c>
      <c r="B84" s="1">
        <f>SUMIF([1]PMDN!$H$2:$H$436, A84,[1]PMDN!$X$2:$X$436)</f>
        <v>0</v>
      </c>
      <c r="D84" s="1" t="s">
        <v>93</v>
      </c>
      <c r="E84" s="1">
        <f>SUMIF([1]PMDN!$H$2:$H$436, A84,[1]PMDN!$Y$2:$Y$436)</f>
        <v>0</v>
      </c>
    </row>
    <row r="85" spans="1:5" x14ac:dyDescent="0.35">
      <c r="A85" s="1" t="s">
        <v>97</v>
      </c>
      <c r="B85" s="1">
        <f>SUMIF([1]PMDN!$H$2:$H$436, A85,[1]PMDN!$X$2:$X$436)</f>
        <v>0</v>
      </c>
      <c r="D85" s="1" t="s">
        <v>97</v>
      </c>
      <c r="E85" s="1">
        <f>SUMIF([1]PMDN!$H$2:$H$436, A85,[1]PMDN!$Y$2:$Y$436)</f>
        <v>0</v>
      </c>
    </row>
    <row r="86" spans="1:5" x14ac:dyDescent="0.35">
      <c r="A86" s="1" t="s">
        <v>98</v>
      </c>
      <c r="B86" s="1">
        <f>SUMIF([1]PMDN!$H$2:$H$436, A86,[1]PMDN!$X$2:$X$436)</f>
        <v>0</v>
      </c>
      <c r="D86" s="1" t="s">
        <v>98</v>
      </c>
      <c r="E86" s="1">
        <f>SUMIF([1]PMDN!$H$2:$H$436, A86,[1]PMDN!$Y$2:$Y$436)</f>
        <v>0</v>
      </c>
    </row>
    <row r="87" spans="1:5" x14ac:dyDescent="0.35">
      <c r="A87" s="1" t="s">
        <v>110</v>
      </c>
      <c r="B87" s="1">
        <f>SUMIF([1]PMDN!$H$2:$H$436, A87,[1]PMDN!$X$2:$X$436)</f>
        <v>0</v>
      </c>
      <c r="D87" s="1" t="s">
        <v>110</v>
      </c>
      <c r="E87" s="1">
        <f>SUMIF([1]PMDN!$H$2:$H$436, A87,[1]PMDN!$Y$2:$Y$436)</f>
        <v>0</v>
      </c>
    </row>
    <row r="88" spans="1:5" x14ac:dyDescent="0.35">
      <c r="A88" s="1" t="s">
        <v>114</v>
      </c>
      <c r="B88" s="1">
        <f>SUMIF([1]PMDN!$H$2:$H$436, A88,[1]PMDN!$X$2:$X$436)</f>
        <v>0</v>
      </c>
      <c r="D88" s="1" t="s">
        <v>114</v>
      </c>
      <c r="E88" s="1">
        <f>SUMIF([1]PMDN!$H$2:$H$436, A88,[1]PMDN!$Y$2:$Y$436)</f>
        <v>0</v>
      </c>
    </row>
    <row r="89" spans="1:5" x14ac:dyDescent="0.35">
      <c r="A89" s="1" t="s">
        <v>118</v>
      </c>
      <c r="B89" s="1">
        <f>SUMIF([1]PMDN!$H$2:$H$436, A89,[1]PMDN!$X$2:$X$436)</f>
        <v>0</v>
      </c>
      <c r="D89" s="1" t="s">
        <v>118</v>
      </c>
      <c r="E89" s="1">
        <f>SUMIF([1]PMDN!$H$2:$H$436, A89,[1]PMDN!$Y$2:$Y$436)</f>
        <v>0</v>
      </c>
    </row>
    <row r="90" spans="1:5" x14ac:dyDescent="0.35">
      <c r="A90" s="1" t="s">
        <v>123</v>
      </c>
      <c r="B90" s="1">
        <f>SUMIF([1]PMDN!$H$2:$H$436, A90,[1]PMDN!$X$2:$X$436)</f>
        <v>38</v>
      </c>
      <c r="D90" s="1" t="s">
        <v>123</v>
      </c>
      <c r="E90" s="1">
        <f>SUMIF([1]PMDN!$H$2:$H$436, A90,[1]PMDN!$Y$2:$Y$436)</f>
        <v>0</v>
      </c>
    </row>
    <row r="91" spans="1:5" x14ac:dyDescent="0.35">
      <c r="A91" s="1" t="s">
        <v>128</v>
      </c>
      <c r="B91" s="1">
        <f>SUMIF([1]PMDN!$H$2:$H$436, A91,[1]PMDN!$X$2:$X$436)</f>
        <v>0</v>
      </c>
      <c r="D91" s="1" t="s">
        <v>128</v>
      </c>
      <c r="E91" s="1">
        <f>SUMIF([1]PMDN!$H$2:$H$436, A91,[1]PMDN!$Y$2:$Y$436)</f>
        <v>0</v>
      </c>
    </row>
    <row r="92" spans="1:5" x14ac:dyDescent="0.35">
      <c r="A92" s="1" t="s">
        <v>232</v>
      </c>
      <c r="B92" s="1">
        <f>SUMIF([1]PMDN!$H$2:$H$436, A92,[1]PMDN!$X$2:$X$436)</f>
        <v>0</v>
      </c>
      <c r="D92" s="1" t="s">
        <v>232</v>
      </c>
      <c r="E92" s="1">
        <f>SUMIF([1]PMDN!$H$2:$H$436, A92,[1]PMDN!$Y$2:$Y$436)</f>
        <v>0</v>
      </c>
    </row>
    <row r="93" spans="1:5" x14ac:dyDescent="0.35">
      <c r="A93" s="1" t="s">
        <v>129</v>
      </c>
      <c r="B93" s="1">
        <f>SUMIF([1]PMDN!$H$2:$H$436, A93,[1]PMDN!$X$2:$X$436)</f>
        <v>0</v>
      </c>
      <c r="D93" s="1" t="s">
        <v>129</v>
      </c>
      <c r="E93" s="1">
        <f>SUMIF([1]PMDN!$H$2:$H$436, A93,[1]PMDN!$Y$2:$Y$436)</f>
        <v>0</v>
      </c>
    </row>
    <row r="94" spans="1:5" x14ac:dyDescent="0.35">
      <c r="A94" s="1" t="s">
        <v>233</v>
      </c>
      <c r="B94" s="1">
        <f>SUMIF([1]PMDN!$H$2:$H$436, A94,[1]PMDN!$X$2:$X$436)</f>
        <v>2</v>
      </c>
      <c r="D94" s="1" t="s">
        <v>233</v>
      </c>
      <c r="E94" s="1">
        <f>SUMIF([1]PMDN!$H$2:$H$436, A94,[1]PMDN!$Y$2:$Y$436)</f>
        <v>0</v>
      </c>
    </row>
    <row r="95" spans="1:5" x14ac:dyDescent="0.35">
      <c r="A95" s="1" t="s">
        <v>28</v>
      </c>
      <c r="B95" s="1">
        <f>SUMIF([1]PMDN!$H$2:$H$436, A95,[1]PMDN!$X$2:$X$436)</f>
        <v>0</v>
      </c>
      <c r="D95" s="1" t="s">
        <v>28</v>
      </c>
      <c r="E95" s="1">
        <f>SUMIF([1]PMDN!$H$2:$H$436, A95,[1]PMDN!$Y$2:$Y$436)</f>
        <v>0</v>
      </c>
    </row>
    <row r="96" spans="1:5" x14ac:dyDescent="0.35">
      <c r="A96" s="1" t="s">
        <v>29</v>
      </c>
      <c r="B96" s="1">
        <f>SUMIF([1]PMDN!$H$2:$H$436, A96,[1]PMDN!$X$2:$X$436)</f>
        <v>2</v>
      </c>
      <c r="D96" s="1" t="s">
        <v>29</v>
      </c>
      <c r="E96" s="1">
        <f>SUMIF([1]PMDN!$H$2:$H$436, A96,[1]PMDN!$Y$2:$Y$436)</f>
        <v>0</v>
      </c>
    </row>
    <row r="97" spans="1:5" x14ac:dyDescent="0.35">
      <c r="A97" s="1" t="s">
        <v>234</v>
      </c>
      <c r="B97" s="1">
        <f>SUMIF([1]PMDN!$H$2:$H$436, A97,[1]PMDN!$X$2:$X$436)</f>
        <v>2</v>
      </c>
      <c r="D97" s="1" t="s">
        <v>234</v>
      </c>
      <c r="E97" s="1">
        <f>SUMIF([1]PMDN!$H$2:$H$436, A97,[1]PMDN!$Y$2:$Y$436)</f>
        <v>0</v>
      </c>
    </row>
    <row r="98" spans="1:5" x14ac:dyDescent="0.35">
      <c r="A98" s="1" t="s">
        <v>30</v>
      </c>
      <c r="B98" s="1">
        <f>SUMIF([1]PMDN!$H$2:$H$436, A98,[1]PMDN!$X$2:$X$436)</f>
        <v>0</v>
      </c>
      <c r="D98" s="1" t="s">
        <v>30</v>
      </c>
      <c r="E98" s="1">
        <f>SUMIF([1]PMDN!$H$2:$H$436, A98,[1]PMDN!$Y$2:$Y$436)</f>
        <v>0</v>
      </c>
    </row>
    <row r="99" spans="1:5" x14ac:dyDescent="0.35">
      <c r="A99" s="1" t="s">
        <v>32</v>
      </c>
      <c r="B99" s="1">
        <f>SUMIF([1]PMDN!$H$2:$H$436, A99,[1]PMDN!$X$2:$X$436)</f>
        <v>0</v>
      </c>
      <c r="D99" s="1" t="s">
        <v>32</v>
      </c>
      <c r="E99" s="1">
        <f>SUMIF([1]PMDN!$H$2:$H$436, A99,[1]PMDN!$Y$2:$Y$436)</f>
        <v>0</v>
      </c>
    </row>
    <row r="100" spans="1:5" x14ac:dyDescent="0.35">
      <c r="A100" s="1" t="s">
        <v>34</v>
      </c>
      <c r="B100" s="1">
        <f>SUMIF([1]PMDN!$H$2:$H$436, A100,[1]PMDN!$X$2:$X$436)</f>
        <v>0</v>
      </c>
      <c r="D100" s="1" t="s">
        <v>34</v>
      </c>
      <c r="E100" s="1">
        <f>SUMIF([1]PMDN!$H$2:$H$436, A100,[1]PMDN!$Y$2:$Y$436)</f>
        <v>0</v>
      </c>
    </row>
    <row r="101" spans="1:5" x14ac:dyDescent="0.35">
      <c r="A101" s="1" t="s">
        <v>64</v>
      </c>
      <c r="B101" s="1">
        <f>SUMIF([1]PMDN!$H$2:$H$436, A101,[1]PMDN!$X$2:$X$436)</f>
        <v>0</v>
      </c>
      <c r="D101" s="1" t="s">
        <v>64</v>
      </c>
      <c r="E101" s="1">
        <f>SUMIF([1]PMDN!$H$2:$H$436, A101,[1]PMDN!$Y$2:$Y$436)</f>
        <v>0</v>
      </c>
    </row>
    <row r="102" spans="1:5" x14ac:dyDescent="0.35">
      <c r="A102" s="1" t="s">
        <v>68</v>
      </c>
      <c r="B102" s="1">
        <f>SUMIF([1]PMDN!$H$2:$H$436, A102,[1]PMDN!$X$2:$X$436)</f>
        <v>0</v>
      </c>
      <c r="D102" s="1" t="s">
        <v>68</v>
      </c>
      <c r="E102" s="1">
        <f>SUMIF([1]PMDN!$H$2:$H$436, A102,[1]PMDN!$Y$2:$Y$436)</f>
        <v>0</v>
      </c>
    </row>
    <row r="103" spans="1:5" x14ac:dyDescent="0.35">
      <c r="A103" s="1" t="s">
        <v>72</v>
      </c>
      <c r="B103" s="1">
        <f>SUMIF([1]PMDN!$H$2:$H$436, A103,[1]PMDN!$X$2:$X$436)</f>
        <v>0</v>
      </c>
      <c r="D103" s="1" t="s">
        <v>72</v>
      </c>
      <c r="E103" s="1">
        <f>SUMIF([1]PMDN!$H$2:$H$436, A103,[1]PMDN!$Y$2:$Y$436)</f>
        <v>0</v>
      </c>
    </row>
    <row r="104" spans="1:5" x14ac:dyDescent="0.35">
      <c r="A104" s="1" t="s">
        <v>73</v>
      </c>
      <c r="B104" s="1">
        <f>SUMIF([1]PMDN!$H$2:$H$436, A104,[1]PMDN!$X$2:$X$436)</f>
        <v>0</v>
      </c>
      <c r="D104" s="1" t="s">
        <v>73</v>
      </c>
      <c r="E104" s="1">
        <f>SUMIF([1]PMDN!$H$2:$H$436, A104,[1]PMDN!$Y$2:$Y$436)</f>
        <v>0</v>
      </c>
    </row>
    <row r="105" spans="1:5" x14ac:dyDescent="0.35">
      <c r="A105" s="1" t="s">
        <v>235</v>
      </c>
      <c r="B105" s="1">
        <f>SUMIF([1]PMDN!$H$2:$H$436, A105,[1]PMDN!$X$2:$X$436)</f>
        <v>0</v>
      </c>
      <c r="D105" s="1" t="s">
        <v>235</v>
      </c>
      <c r="E105" s="1">
        <f>SUMIF([1]PMDN!$H$2:$H$436, A105,[1]PMDN!$Y$2:$Y$436)</f>
        <v>0</v>
      </c>
    </row>
    <row r="106" spans="1:5" x14ac:dyDescent="0.35">
      <c r="A106" s="1" t="s">
        <v>236</v>
      </c>
      <c r="B106" s="1">
        <f>SUMIF([1]PMDN!$H$2:$H$436, A106,[1]PMDN!$X$2:$X$436)</f>
        <v>0</v>
      </c>
      <c r="D106" s="1" t="s">
        <v>236</v>
      </c>
      <c r="E106" s="1">
        <f>SUMIF([1]PMDN!$H$2:$H$436, A106,[1]PMDN!$Y$2:$Y$436)</f>
        <v>0</v>
      </c>
    </row>
    <row r="107" spans="1:5" x14ac:dyDescent="0.35">
      <c r="A107" s="1" t="s">
        <v>76</v>
      </c>
      <c r="B107" s="1">
        <f>SUMIF([1]PMDN!$H$2:$H$436, A107,[1]PMDN!$X$2:$X$436)</f>
        <v>0</v>
      </c>
      <c r="D107" s="1" t="s">
        <v>76</v>
      </c>
      <c r="E107" s="1">
        <f>SUMIF([1]PMDN!$H$2:$H$436, A107,[1]PMDN!$Y$2:$Y$436)</f>
        <v>0</v>
      </c>
    </row>
    <row r="108" spans="1:5" x14ac:dyDescent="0.35">
      <c r="A108" s="1" t="s">
        <v>237</v>
      </c>
      <c r="B108" s="1">
        <f>SUMIF([1]PMDN!$H$2:$H$436, A108,[1]PMDN!$X$2:$X$436)</f>
        <v>0</v>
      </c>
      <c r="D108" s="1" t="s">
        <v>237</v>
      </c>
      <c r="E108" s="1">
        <f>SUMIF([1]PMDN!$H$2:$H$436, A108,[1]PMDN!$Y$2:$Y$436)</f>
        <v>0</v>
      </c>
    </row>
    <row r="109" spans="1:5" x14ac:dyDescent="0.35">
      <c r="A109" s="1" t="s">
        <v>79</v>
      </c>
      <c r="B109" s="1">
        <f>SUMIF([1]PMDN!$H$2:$H$436, A109,[1]PMDN!$X$2:$X$436)</f>
        <v>153</v>
      </c>
      <c r="D109" s="1" t="s">
        <v>79</v>
      </c>
      <c r="E109" s="1">
        <f>SUMIF([1]PMDN!$H$2:$H$436, A109,[1]PMDN!$Y$2:$Y$436)</f>
        <v>0</v>
      </c>
    </row>
    <row r="110" spans="1:5" x14ac:dyDescent="0.35">
      <c r="A110" s="1" t="s">
        <v>81</v>
      </c>
      <c r="B110" s="1">
        <f>SUMIF([1]PMDN!$H$2:$H$436, A110,[1]PMDN!$X$2:$X$436)</f>
        <v>122</v>
      </c>
      <c r="D110" s="1" t="s">
        <v>81</v>
      </c>
      <c r="E110" s="1">
        <f>SUMIF([1]PMDN!$H$2:$H$436, A110,[1]PMDN!$Y$2:$Y$436)</f>
        <v>0</v>
      </c>
    </row>
    <row r="111" spans="1:5" x14ac:dyDescent="0.35">
      <c r="A111" s="1" t="s">
        <v>238</v>
      </c>
      <c r="B111" s="1">
        <f>SUMIF([1]PMDN!$H$2:$H$436, A111,[1]PMDN!$X$2:$X$436)</f>
        <v>0</v>
      </c>
      <c r="D111" s="1" t="s">
        <v>238</v>
      </c>
      <c r="E111" s="1">
        <f>SUMIF([1]PMDN!$H$2:$H$436, A111,[1]PMDN!$Y$2:$Y$436)</f>
        <v>0</v>
      </c>
    </row>
    <row r="112" spans="1:5" x14ac:dyDescent="0.35">
      <c r="A112" s="1" t="s">
        <v>82</v>
      </c>
      <c r="B112" s="1">
        <f>SUMIF([1]PMDN!$H$2:$H$436, A112,[1]PMDN!$X$2:$X$436)</f>
        <v>76</v>
      </c>
      <c r="D112" s="1" t="s">
        <v>82</v>
      </c>
      <c r="E112" s="1">
        <f>SUMIF([1]PMDN!$H$2:$H$436, A112,[1]PMDN!$Y$2:$Y$436)</f>
        <v>0</v>
      </c>
    </row>
    <row r="113" spans="1:5" x14ac:dyDescent="0.35">
      <c r="A113" s="1" t="s">
        <v>239</v>
      </c>
      <c r="B113" s="1">
        <f>SUMIF([1]PMDN!$H$2:$H$436, A113,[1]PMDN!$X$2:$X$436)</f>
        <v>5</v>
      </c>
      <c r="D113" s="1" t="s">
        <v>239</v>
      </c>
      <c r="E113" s="1">
        <f>SUMIF([1]PMDN!$H$2:$H$436, A113,[1]PMDN!$Y$2:$Y$436)</f>
        <v>0</v>
      </c>
    </row>
    <row r="114" spans="1:5" x14ac:dyDescent="0.35">
      <c r="A114" s="1" t="s">
        <v>87</v>
      </c>
      <c r="B114" s="1">
        <f>SUMIF([1]PMDN!$H$2:$H$436, A114,[1]PMDN!$X$2:$X$436)</f>
        <v>122</v>
      </c>
      <c r="D114" s="1" t="s">
        <v>87</v>
      </c>
      <c r="E114" s="1">
        <f>SUMIF([1]PMDN!$H$2:$H$436, A114,[1]PMDN!$Y$2:$Y$436)</f>
        <v>0</v>
      </c>
    </row>
    <row r="115" spans="1:5" x14ac:dyDescent="0.35">
      <c r="A115" s="1" t="s">
        <v>240</v>
      </c>
      <c r="B115" s="1">
        <f>SUMIF([1]PMDN!$H$2:$H$436, A115,[1]PMDN!$X$2:$X$436)</f>
        <v>13</v>
      </c>
      <c r="D115" s="1" t="s">
        <v>240</v>
      </c>
      <c r="E115" s="1">
        <f>SUMIF([1]PMDN!$H$2:$H$436, A115,[1]PMDN!$Y$2:$Y$436)</f>
        <v>0</v>
      </c>
    </row>
    <row r="116" spans="1:5" x14ac:dyDescent="0.35">
      <c r="A116" s="1" t="s">
        <v>241</v>
      </c>
      <c r="B116" s="1">
        <f>SUMIF([1]PMDN!$H$2:$H$436, A116,[1]PMDN!$X$2:$X$436)</f>
        <v>0</v>
      </c>
      <c r="D116" s="1" t="s">
        <v>241</v>
      </c>
      <c r="E116" s="1">
        <f>SUMIF([1]PMDN!$H$2:$H$436, A116,[1]PMDN!$Y$2:$Y$436)</f>
        <v>0</v>
      </c>
    </row>
    <row r="117" spans="1:5" x14ac:dyDescent="0.35">
      <c r="A117" s="1" t="s">
        <v>95</v>
      </c>
      <c r="B117" s="1">
        <f>SUMIF([1]PMDN!$H$2:$H$436, A117,[1]PMDN!$X$2:$X$436)</f>
        <v>0</v>
      </c>
      <c r="D117" s="1" t="s">
        <v>95</v>
      </c>
      <c r="E117" s="1">
        <f>SUMIF([1]PMDN!$H$2:$H$436, A117,[1]PMDN!$Y$2:$Y$436)</f>
        <v>0</v>
      </c>
    </row>
    <row r="118" spans="1:5" x14ac:dyDescent="0.35">
      <c r="A118" s="1" t="s">
        <v>96</v>
      </c>
      <c r="B118" s="1">
        <f>SUMIF([1]PMDN!$H$2:$H$436, A118,[1]PMDN!$X$2:$X$436)</f>
        <v>0</v>
      </c>
      <c r="D118" s="1" t="s">
        <v>96</v>
      </c>
      <c r="E118" s="1">
        <f>SUMIF([1]PMDN!$H$2:$H$436, A118,[1]PMDN!$Y$2:$Y$436)</f>
        <v>0</v>
      </c>
    </row>
    <row r="119" spans="1:5" x14ac:dyDescent="0.35">
      <c r="A119" s="1" t="s">
        <v>243</v>
      </c>
      <c r="B119" s="1">
        <f>SUMIF([1]PMDN!$H$2:$H$436, A119,[1]PMDN!$X$2:$X$436)</f>
        <v>0</v>
      </c>
      <c r="D119" s="1" t="s">
        <v>243</v>
      </c>
      <c r="E119" s="1">
        <f>SUMIF([1]PMDN!$H$2:$H$436, A119,[1]PMDN!$Y$2:$Y$436)</f>
        <v>0</v>
      </c>
    </row>
    <row r="120" spans="1:5" x14ac:dyDescent="0.35">
      <c r="A120" s="1" t="s">
        <v>104</v>
      </c>
      <c r="B120" s="1">
        <f>SUMIF([1]PMDN!$H$2:$H$436, A120,[1]PMDN!$X$2:$X$436)</f>
        <v>0</v>
      </c>
      <c r="D120" s="1" t="s">
        <v>104</v>
      </c>
      <c r="E120" s="1">
        <f>SUMIF([1]PMDN!$H$2:$H$436, A120,[1]PMDN!$Y$2:$Y$436)</f>
        <v>0</v>
      </c>
    </row>
    <row r="121" spans="1:5" x14ac:dyDescent="0.35">
      <c r="A121" s="1" t="s">
        <v>115</v>
      </c>
      <c r="B121" s="1">
        <f>SUMIF([1]PMDN!$H$2:$H$436, A121,[1]PMDN!$X$2:$X$436)</f>
        <v>0</v>
      </c>
      <c r="D121" s="1" t="s">
        <v>115</v>
      </c>
      <c r="E121" s="1">
        <f>SUMIF([1]PMDN!$H$2:$H$436, A121,[1]PMDN!$Y$2:$Y$436)</f>
        <v>0</v>
      </c>
    </row>
    <row r="122" spans="1:5" x14ac:dyDescent="0.35">
      <c r="A122" s="1" t="s">
        <v>105</v>
      </c>
      <c r="B122" s="1">
        <f>SUMIF([1]PMDN!$H$2:$H$436, A122,[1]PMDN!$X$2:$X$436)</f>
        <v>0</v>
      </c>
      <c r="D122" s="1" t="s">
        <v>105</v>
      </c>
      <c r="E122" s="1">
        <f>SUMIF([1]PMDN!$H$2:$H$436, A122,[1]PMDN!$Y$2:$Y$436)</f>
        <v>0</v>
      </c>
    </row>
    <row r="123" spans="1:5" x14ac:dyDescent="0.35">
      <c r="A123" s="1" t="s">
        <v>107</v>
      </c>
      <c r="B123" s="1">
        <f>SUMIF([1]PMDN!$H$2:$H$436, A123,[1]PMDN!$X$2:$X$436)</f>
        <v>0</v>
      </c>
      <c r="D123" s="1" t="s">
        <v>107</v>
      </c>
      <c r="E123" s="1">
        <f>SUMIF([1]PMDN!$H$2:$H$436, A123,[1]PMDN!$Y$2:$Y$436)</f>
        <v>0</v>
      </c>
    </row>
    <row r="124" spans="1:5" x14ac:dyDescent="0.35">
      <c r="A124" s="1" t="s">
        <v>111</v>
      </c>
      <c r="B124" s="1">
        <f>SUMIF([1]PMDN!$H$2:$H$436, A124,[1]PMDN!$X$2:$X$436)</f>
        <v>0</v>
      </c>
      <c r="D124" s="1" t="s">
        <v>111</v>
      </c>
      <c r="E124" s="1">
        <f>SUMIF([1]PMDN!$H$2:$H$436, A124,[1]PMDN!$Y$2:$Y$436)</f>
        <v>0</v>
      </c>
    </row>
    <row r="125" spans="1:5" x14ac:dyDescent="0.35">
      <c r="A125" s="1" t="s">
        <v>54</v>
      </c>
      <c r="B125" s="1">
        <f>SUMIF([1]PMDN!$H$2:$H$436, A125,[1]PMDN!$X$2:$X$436)</f>
        <v>0</v>
      </c>
      <c r="D125" s="1" t="s">
        <v>54</v>
      </c>
      <c r="E125" s="1">
        <f>SUMIF([1]PMDN!$H$2:$H$436, A125,[1]PMDN!$Y$2:$Y$436)</f>
        <v>0</v>
      </c>
    </row>
    <row r="126" spans="1:5" x14ac:dyDescent="0.35">
      <c r="A126" s="1" t="s">
        <v>61</v>
      </c>
      <c r="B126" s="1">
        <f>SUMIF([1]PMDN!$H$2:$H$436, A126,[1]PMDN!$X$2:$X$436)</f>
        <v>0</v>
      </c>
      <c r="D126" s="1" t="s">
        <v>61</v>
      </c>
      <c r="E126" s="1">
        <f>SUMIF([1]PMDN!$H$2:$H$436, A126,[1]PMDN!$Y$2:$Y$436)</f>
        <v>0</v>
      </c>
    </row>
    <row r="127" spans="1:5" x14ac:dyDescent="0.35">
      <c r="A127" s="1" t="s">
        <v>102</v>
      </c>
      <c r="B127" s="1">
        <f>SUMIF([1]PMDN!$H$2:$H$436, A127,[1]PMDN!$X$2:$X$436)</f>
        <v>134</v>
      </c>
      <c r="D127" s="1" t="s">
        <v>102</v>
      </c>
      <c r="E127" s="1">
        <f>SUMIF([1]PMDN!$H$2:$H$436, A127,[1]PMDN!$Y$2:$Y$436)</f>
        <v>0</v>
      </c>
    </row>
    <row r="128" spans="1:5" x14ac:dyDescent="0.35">
      <c r="A128" s="1" t="s">
        <v>112</v>
      </c>
      <c r="B128" s="1">
        <f>SUMIF([1]PMDN!$H$2:$H$436, A128,[1]PMDN!$X$2:$X$436)</f>
        <v>0</v>
      </c>
      <c r="D128" s="1" t="s">
        <v>112</v>
      </c>
      <c r="E128" s="1">
        <f>SUMIF([1]PMDN!$H$2:$H$436, A128,[1]PMDN!$Y$2:$Y$436)</f>
        <v>0</v>
      </c>
    </row>
    <row r="129" spans="1:5" x14ac:dyDescent="0.35">
      <c r="A129" s="1"/>
      <c r="B129" s="1">
        <f>SUM(B4:B128)</f>
        <v>910</v>
      </c>
      <c r="D129" s="1"/>
      <c r="E129" s="1">
        <f>SUM(E4:E128)</f>
        <v>0</v>
      </c>
    </row>
    <row r="192" spans="1:7" s="8" customFormat="1" x14ac:dyDescent="0.35">
      <c r="A192" s="79"/>
      <c r="B192" s="80"/>
      <c r="F192" s="79"/>
      <c r="G192" s="8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28D9-8FBE-449A-AAB9-E41D50C549DF}">
  <sheetPr>
    <tabColor rgb="FFFF33CC"/>
  </sheetPr>
  <dimension ref="B1:J7"/>
  <sheetViews>
    <sheetView zoomScale="52" workbookViewId="0">
      <selection activeCell="H5" sqref="H5"/>
    </sheetView>
  </sheetViews>
  <sheetFormatPr defaultRowHeight="14.5" x14ac:dyDescent="0.35"/>
  <cols>
    <col min="1" max="1" width="11.81640625" customWidth="1"/>
    <col min="2" max="2" width="31.81640625" customWidth="1"/>
    <col min="3" max="3" width="19" style="3" customWidth="1"/>
    <col min="9" max="9" width="30.90625" customWidth="1"/>
    <col min="10" max="10" width="22.26953125" customWidth="1"/>
    <col min="11" max="11" width="18.26953125" bestFit="1" customWidth="1"/>
  </cols>
  <sheetData>
    <row r="1" spans="2:10" x14ac:dyDescent="0.35">
      <c r="B1" t="s">
        <v>196</v>
      </c>
      <c r="C1"/>
      <c r="D1" s="3"/>
    </row>
    <row r="2" spans="2:10" x14ac:dyDescent="0.35">
      <c r="C2"/>
      <c r="D2" s="3"/>
    </row>
    <row r="3" spans="2:10" x14ac:dyDescent="0.35">
      <c r="B3" s="54" t="s">
        <v>184</v>
      </c>
      <c r="C3" s="54" t="s">
        <v>173</v>
      </c>
      <c r="D3" s="3"/>
      <c r="I3" s="55" t="s">
        <v>184</v>
      </c>
      <c r="J3" s="55" t="s">
        <v>181</v>
      </c>
    </row>
    <row r="4" spans="2:10" x14ac:dyDescent="0.35">
      <c r="B4" s="1" t="s">
        <v>174</v>
      </c>
      <c r="C4" s="5">
        <v>993876060000</v>
      </c>
      <c r="D4" s="3"/>
      <c r="I4" s="1" t="s">
        <v>176</v>
      </c>
      <c r="J4" s="5">
        <v>2809261000000</v>
      </c>
    </row>
    <row r="5" spans="2:10" x14ac:dyDescent="0.35">
      <c r="B5" s="1" t="s">
        <v>175</v>
      </c>
      <c r="C5" s="5">
        <v>1897736320192</v>
      </c>
      <c r="D5" s="3"/>
      <c r="I5" s="1" t="s">
        <v>175</v>
      </c>
      <c r="J5" s="6">
        <f>C5</f>
        <v>1897736320192</v>
      </c>
    </row>
    <row r="6" spans="2:10" x14ac:dyDescent="0.35">
      <c r="I6" s="1" t="s">
        <v>244</v>
      </c>
      <c r="J6" s="5">
        <f>'Sektor Inves Total'!E27 + 'Sektor Inves Total'!H27</f>
        <v>20111561310051</v>
      </c>
    </row>
    <row r="7" spans="2:10" x14ac:dyDescent="0.35">
      <c r="J7" s="4">
        <f>J4-J5</f>
        <v>911524679808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9256-9421-4599-82E0-FAC0DF9899D7}">
  <sheetPr>
    <tabColor rgb="FF92D050"/>
  </sheetPr>
  <dimension ref="A1:B24"/>
  <sheetViews>
    <sheetView workbookViewId="0">
      <selection activeCell="D11" sqref="D11"/>
    </sheetView>
  </sheetViews>
  <sheetFormatPr defaultRowHeight="14.5" x14ac:dyDescent="0.35"/>
  <cols>
    <col min="1" max="1" width="12.54296875" customWidth="1"/>
    <col min="2" max="2" width="17.54296875" customWidth="1"/>
  </cols>
  <sheetData>
    <row r="1" spans="1:2" x14ac:dyDescent="0.35">
      <c r="A1" t="s">
        <v>206</v>
      </c>
    </row>
    <row r="3" spans="1:2" x14ac:dyDescent="0.35">
      <c r="A3" t="s">
        <v>202</v>
      </c>
      <c r="B3" t="s">
        <v>204</v>
      </c>
    </row>
    <row r="4" spans="1:2" x14ac:dyDescent="0.35">
      <c r="A4" t="s">
        <v>137</v>
      </c>
      <c r="B4">
        <v>503</v>
      </c>
    </row>
    <row r="5" spans="1:2" x14ac:dyDescent="0.35">
      <c r="A5" t="s">
        <v>203</v>
      </c>
      <c r="B5">
        <v>448</v>
      </c>
    </row>
    <row r="6" spans="1:2" x14ac:dyDescent="0.35">
      <c r="B6">
        <f>SUM(B4:B5)</f>
        <v>951</v>
      </c>
    </row>
    <row r="21" spans="1:2" x14ac:dyDescent="0.35">
      <c r="A21" t="s">
        <v>202</v>
      </c>
      <c r="B21" t="s">
        <v>205</v>
      </c>
    </row>
    <row r="22" spans="1:2" x14ac:dyDescent="0.35">
      <c r="A22" t="s">
        <v>137</v>
      </c>
      <c r="B22" s="3">
        <v>8010410198</v>
      </c>
    </row>
    <row r="23" spans="1:2" x14ac:dyDescent="0.35">
      <c r="A23" t="s">
        <v>203</v>
      </c>
      <c r="B23" s="3">
        <v>1889725909994</v>
      </c>
    </row>
    <row r="24" spans="1:2" x14ac:dyDescent="0.35">
      <c r="B24" s="4">
        <f>SUM(B22:B23)</f>
        <v>1897736320192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4C84-784E-4CE0-857F-BC90491637BB}">
  <sheetPr>
    <tabColor rgb="FFFFFF00"/>
  </sheetPr>
  <dimension ref="A1:C18"/>
  <sheetViews>
    <sheetView workbookViewId="0">
      <selection activeCell="C5" sqref="C5"/>
    </sheetView>
  </sheetViews>
  <sheetFormatPr defaultRowHeight="14.5" x14ac:dyDescent="0.35"/>
  <cols>
    <col min="1" max="1" width="18.6328125" customWidth="1"/>
    <col min="2" max="2" width="19.453125" customWidth="1"/>
    <col min="3" max="3" width="24.453125" customWidth="1"/>
  </cols>
  <sheetData>
    <row r="1" spans="1:3" x14ac:dyDescent="0.35">
      <c r="A1" t="s">
        <v>192</v>
      </c>
    </row>
    <row r="4" spans="1:3" x14ac:dyDescent="0.35">
      <c r="A4" s="95" t="s">
        <v>194</v>
      </c>
      <c r="B4" s="95"/>
      <c r="C4" s="95"/>
    </row>
    <row r="5" spans="1:3" x14ac:dyDescent="0.35">
      <c r="A5" t="s">
        <v>193</v>
      </c>
      <c r="B5" s="3">
        <f>'TW2 24 VS 25'!J5+'TW2 24 VS 25'!J4</f>
        <v>4706997320192</v>
      </c>
      <c r="C5" s="3">
        <v>7189576000000</v>
      </c>
    </row>
    <row r="8" spans="1:3" x14ac:dyDescent="0.35">
      <c r="B8">
        <f>B5/C5*100</f>
        <v>65.469748427334238</v>
      </c>
    </row>
    <row r="10" spans="1:3" x14ac:dyDescent="0.35">
      <c r="A10" s="3" t="s">
        <v>195</v>
      </c>
    </row>
    <row r="18" spans="2:3" x14ac:dyDescent="0.35">
      <c r="B18" s="3">
        <v>1897736320192</v>
      </c>
      <c r="C18">
        <f>B18/C5*100</f>
        <v>26.395663947248071</v>
      </c>
    </row>
  </sheetData>
  <mergeCells count="1">
    <mergeCell ref="A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JML PROYEK</vt:lpstr>
      <vt:lpstr>PROYEK PMDN perkecamatan</vt:lpstr>
      <vt:lpstr>PMA perkecamatan</vt:lpstr>
      <vt:lpstr>INVEST LOKASI</vt:lpstr>
      <vt:lpstr>INVEST LOKASI PMDN</vt:lpstr>
      <vt:lpstr>Perperusahaan PMA</vt:lpstr>
      <vt:lpstr>Perperusahaan PMDN</vt:lpstr>
      <vt:lpstr>Negara</vt:lpstr>
      <vt:lpstr>Sektor PMDN</vt:lpstr>
      <vt:lpstr>Sektor PMA</vt:lpstr>
      <vt:lpstr>Sektor Inves Total</vt:lpstr>
      <vt:lpstr>Invest persektor </vt:lpstr>
      <vt:lpstr>Naker PMA</vt:lpstr>
      <vt:lpstr>Naker PMDN</vt:lpstr>
      <vt:lpstr>TW2 24 VS 25</vt:lpstr>
      <vt:lpstr>UMK VS NON UMK</vt:lpstr>
      <vt:lpstr>Target VS TW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dcterms:created xsi:type="dcterms:W3CDTF">2025-08-31T09:25:28Z</dcterms:created>
  <dcterms:modified xsi:type="dcterms:W3CDTF">2025-11-27T00:22:37Z</dcterms:modified>
</cp:coreProperties>
</file>